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Danh sách task" sheetId="2" state="visible" r:id="rId2"/>
    <sheet name="Lịch 2 tuần" sheetId="3" state="visible" r:id="rId3"/>
    <sheet name="Chức năng hiện tại" sheetId="4" state="visible" r:id="rId4"/>
  </sheets>
  <definedNames>
    <definedName name="_xlnm._FilterDatabase" localSheetId="1" hidden="1">'Danh sách task'!$A$4:$L$30</definedName>
    <definedName name="_xlnm.Print_Titles" localSheetId="1">'Danh sách task'!$1:$4</definedName>
    <definedName name="_xlnm._FilterDatabase" localSheetId="3" hidden="1">'Chức năng hiện tại'!$A$4:$E$34</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color rgb="00FFFFFF"/>
      <sz val="18"/>
    </font>
    <font>
      <name val="Arial"/>
      <i val="1"/>
      <color rgb="006B7280"/>
      <sz val="11"/>
    </font>
    <font>
      <name val="Arial"/>
      <b val="1"/>
      <color rgb="001F4E3D"/>
      <sz val="12"/>
    </font>
    <font>
      <name val="Arial"/>
      <b val="1"/>
      <sz val="10"/>
    </font>
    <font>
      <name val="Arial"/>
      <sz val="10"/>
    </font>
    <font>
      <name val="Arial"/>
      <b val="1"/>
      <color rgb="00FFFFFF"/>
      <sz val="10"/>
    </font>
    <font>
      <name val="Arial"/>
      <b val="1"/>
      <sz val="9.5"/>
    </font>
    <font>
      <name val="Arial"/>
      <sz val="9.5"/>
    </font>
    <font>
      <name val="Arial"/>
      <b val="1"/>
      <color rgb="009C2A2A"/>
      <sz val="10"/>
    </font>
    <font>
      <name val="Arial"/>
      <b val="1"/>
      <color rgb="00FFFFFF"/>
      <sz val="16"/>
    </font>
    <font>
      <name val="Arial"/>
      <i val="1"/>
      <color rgb="006B7280"/>
      <sz val="10"/>
    </font>
  </fonts>
  <fills count="12">
    <fill>
      <patternFill/>
    </fill>
    <fill>
      <patternFill patternType="gray125"/>
    </fill>
    <fill>
      <patternFill patternType="solid">
        <fgColor rgb="001F4E3D"/>
      </patternFill>
    </fill>
    <fill>
      <patternFill patternType="solid">
        <fgColor rgb="00EAF4EE"/>
      </patternFill>
    </fill>
    <fill>
      <patternFill patternType="solid">
        <fgColor rgb="002E7D5B"/>
      </patternFill>
    </fill>
    <fill>
      <patternFill patternType="solid">
        <fgColor rgb="00F5F9F6"/>
      </patternFill>
    </fill>
    <fill>
      <patternFill patternType="solid">
        <fgColor rgb="00FDECEC"/>
      </patternFill>
    </fill>
    <fill>
      <patternFill patternType="solid">
        <fgColor rgb="00FCE4E4"/>
      </patternFill>
    </fill>
    <fill>
      <patternFill patternType="solid">
        <fgColor rgb="00EDEDED"/>
      </patternFill>
    </fill>
    <fill>
      <patternFill patternType="solid">
        <fgColor rgb="00FFF2CC"/>
      </patternFill>
    </fill>
    <fill>
      <patternFill patternType="solid">
        <fgColor rgb="00E2EFDA"/>
      </patternFill>
    </fill>
    <fill>
      <patternFill patternType="solid">
        <fgColor rgb="00C6EFCE"/>
      </patternFill>
    </fill>
  </fills>
  <borders count="2">
    <border>
      <left/>
      <right/>
      <top/>
      <bottom/>
      <diagonal/>
    </border>
    <border>
      <left style="thin">
        <color rgb="00D5DDD8"/>
      </left>
      <right style="thin">
        <color rgb="00D5DDD8"/>
      </right>
      <top style="thin">
        <color rgb="00D5DDD8"/>
      </top>
      <bottom style="thin">
        <color rgb="00D5DDD8"/>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center"/>
    </xf>
    <xf numFmtId="0" fontId="3" fillId="3" borderId="0" applyAlignment="1" pivotButton="0" quotePrefix="0" xfId="0">
      <alignment vertical="center"/>
    </xf>
    <xf numFmtId="0" fontId="4" fillId="0" borderId="1" pivotButton="0" quotePrefix="0" xfId="0"/>
    <xf numFmtId="0" fontId="5" fillId="0" borderId="1" applyAlignment="1" pivotButton="0" quotePrefix="0" xfId="0">
      <alignment vertical="center" wrapText="1"/>
    </xf>
    <xf numFmtId="0" fontId="0" fillId="0" borderId="1" pivotButton="0" quotePrefix="0" xfId="0"/>
    <xf numFmtId="0" fontId="6" fillId="4" borderId="1" pivotButton="0" quotePrefix="0" xfId="0"/>
    <xf numFmtId="0" fontId="5" fillId="0" borderId="1"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8" fillId="5" borderId="1" applyAlignment="1" pivotButton="0" quotePrefix="0" xfId="0">
      <alignment horizontal="center"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top" wrapText="1"/>
    </xf>
    <xf numFmtId="0" fontId="5" fillId="0" borderId="0" applyAlignment="1" pivotButton="0" quotePrefix="0" xfId="0">
      <alignment vertical="center" wrapText="1"/>
    </xf>
    <xf numFmtId="0" fontId="7" fillId="0" borderId="0" pivotButton="0" quotePrefix="0" xfId="0"/>
    <xf numFmtId="0" fontId="8" fillId="0" borderId="0" applyAlignment="1" pivotButton="0" quotePrefix="0" xfId="0">
      <alignment vertical="center" wrapText="1"/>
    </xf>
    <xf numFmtId="0" fontId="9" fillId="6" borderId="0" applyAlignment="1" pivotButton="0" quotePrefix="0" xfId="0">
      <alignment vertical="center" wrapText="1"/>
    </xf>
    <xf numFmtId="0" fontId="10" fillId="2" borderId="0" applyAlignment="1" pivotButton="0" quotePrefix="0" xfId="0">
      <alignment horizontal="left" vertical="center"/>
    </xf>
    <xf numFmtId="0" fontId="11" fillId="0" borderId="0" applyAlignment="1" pivotButton="0" quotePrefix="0" xfId="0">
      <alignment vertical="center"/>
    </xf>
    <xf numFmtId="0" fontId="8" fillId="7" borderId="1" applyAlignment="1" pivotButton="0" quotePrefix="0" xfId="0">
      <alignment horizontal="center" vertical="top" wrapText="1"/>
    </xf>
    <xf numFmtId="164" fontId="8" fillId="0" borderId="1" applyAlignment="1" pivotButton="0" quotePrefix="0" xfId="0">
      <alignment horizontal="center" vertical="top" wrapText="1"/>
    </xf>
    <xf numFmtId="0" fontId="8" fillId="8" borderId="1" applyAlignment="1" pivotButton="0" quotePrefix="0" xfId="0">
      <alignment horizontal="center" vertical="top" wrapText="1"/>
    </xf>
    <xf numFmtId="164" fontId="8" fillId="5" borderId="1" applyAlignment="1" pivotButton="0" quotePrefix="0" xfId="0">
      <alignment horizontal="center" vertical="top" wrapText="1"/>
    </xf>
    <xf numFmtId="0" fontId="8" fillId="9" borderId="1" applyAlignment="1" pivotButton="0" quotePrefix="0" xfId="0">
      <alignment horizontal="center" vertical="top" wrapText="1"/>
    </xf>
    <xf numFmtId="0" fontId="8" fillId="10"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7" fillId="10" borderId="1" applyAlignment="1" pivotButton="0" quotePrefix="0" xfId="0">
      <alignment horizontal="center" vertical="top" wrapText="1"/>
    </xf>
    <xf numFmtId="0" fontId="8" fillId="10" borderId="1" applyAlignment="1" pivotButton="0" quotePrefix="0" xfId="0">
      <alignment horizontal="left" vertical="top" wrapText="1"/>
    </xf>
    <xf numFmtId="0" fontId="8" fillId="11" borderId="1" applyAlignment="1" pivotButton="0" quotePrefix="0" xfId="0">
      <alignment horizontal="center" vertical="top" wrapText="1"/>
    </xf>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showGridLines="0" workbookViewId="0">
      <selection activeCell="A1" sqref="A1"/>
    </sheetView>
  </sheetViews>
  <sheetFormatPr baseColWidth="8" defaultRowHeight="15"/>
  <cols>
    <col width="22" customWidth="1" min="1" max="1"/>
    <col width="30" customWidth="1" min="2" max="2"/>
    <col width="28" customWidth="1" min="3" max="3"/>
    <col width="22" customWidth="1" min="4" max="4"/>
    <col width="18" customWidth="1" min="5" max="5"/>
    <col width="20" customWidth="1" min="6" max="6"/>
  </cols>
  <sheetData>
    <row r="1" ht="34" customHeight="1">
      <c r="A1" s="1" t="inlineStr">
        <is>
          <t>KẾ HOẠCH HOÀN THIỆN NOLA2HAND</t>
        </is>
      </c>
    </row>
    <row r="2" ht="24" customHeight="1">
      <c r="A2" s="2" t="inlineStr">
        <is>
          <t>Dành cho nhóm 4 người — các chức năng còn thiếu và cách làm từng bước</t>
        </is>
      </c>
    </row>
    <row r="4" ht="24" customHeight="1">
      <c r="A4" s="3" t="inlineStr">
        <is>
          <t>THÔNG TIN DỰ ÁN</t>
        </is>
      </c>
    </row>
    <row r="5" ht="24" customHeight="1">
      <c r="A5" s="4" t="inlineStr">
        <is>
          <t>Dự án</t>
        </is>
      </c>
      <c r="B5" s="5" t="inlineStr">
        <is>
          <t>Nola2Hand — sàn đồ cũ</t>
        </is>
      </c>
      <c r="C5" s="6" t="n"/>
      <c r="D5" s="6" t="n"/>
      <c r="E5" s="6" t="n"/>
      <c r="F5" s="6" t="n"/>
    </row>
    <row r="6" ht="24" customHeight="1">
      <c r="A6" s="4" t="inlineStr">
        <is>
          <t>Repo</t>
        </is>
      </c>
      <c r="B6" s="5" t="inlineStr">
        <is>
          <t>H-thanh0603/nola2hand-py</t>
        </is>
      </c>
      <c r="C6" s="6" t="n"/>
      <c r="D6" s="6" t="n"/>
      <c r="E6" s="6" t="n"/>
      <c r="F6" s="6" t="n"/>
    </row>
    <row r="7" ht="24" customHeight="1">
      <c r="A7" s="4" t="inlineStr">
        <is>
          <t>Phiên bản hiện tại</t>
        </is>
      </c>
      <c r="B7" s="5" t="inlineStr">
        <is>
          <t>v2.0-python-react</t>
        </is>
      </c>
      <c r="C7" s="6" t="n"/>
      <c r="D7" s="6" t="n"/>
      <c r="E7" s="6" t="n"/>
      <c r="F7" s="6" t="n"/>
    </row>
    <row r="8" ht="24" customHeight="1">
      <c r="A8" s="4" t="inlineStr">
        <is>
          <t>Mục tiêu đợt này</t>
        </is>
      </c>
      <c r="B8" s="5" t="inlineStr">
        <is>
          <t>Hoàn thiện chức năng còn thiếu, test, deploy</t>
        </is>
      </c>
      <c r="C8" s="6" t="n"/>
      <c r="D8" s="6" t="n"/>
      <c r="E8" s="6" t="n"/>
      <c r="F8" s="6" t="n"/>
    </row>
    <row r="9" ht="24" customHeight="1">
      <c r="A9" s="4" t="inlineStr">
        <is>
          <t>Thời gian dự kiến</t>
        </is>
      </c>
      <c r="B9" s="5" t="inlineStr">
        <is>
          <t>10 ngày làm việc + 2 ngày tích hợp/phát hành</t>
        </is>
      </c>
      <c r="C9" s="6" t="n"/>
      <c r="D9" s="6" t="n"/>
      <c r="E9" s="6" t="n"/>
      <c r="F9" s="6" t="n"/>
    </row>
    <row r="10" ht="24" customHeight="1">
      <c r="A10" s="4" t="inlineStr">
        <is>
          <t>Tổng công</t>
        </is>
      </c>
      <c r="B10" s="5" t="inlineStr">
        <is>
          <t>27,5 người-ngày</t>
        </is>
      </c>
      <c r="C10" s="6" t="n"/>
      <c r="D10" s="6" t="n"/>
      <c r="E10" s="6" t="n"/>
      <c r="F10" s="6" t="n"/>
    </row>
    <row r="12" ht="24" customHeight="1">
      <c r="A12" s="3" t="inlineStr">
        <is>
          <t>TIẾN ĐỘ</t>
        </is>
      </c>
    </row>
    <row r="13">
      <c r="A13" s="7" t="inlineStr">
        <is>
          <t>Chỉ số</t>
        </is>
      </c>
      <c r="B13" s="7" t="inlineStr">
        <is>
          <t>Giá trị</t>
        </is>
      </c>
    </row>
    <row r="14">
      <c r="A14" s="8" t="inlineStr">
        <is>
          <t>Tổng số task</t>
        </is>
      </c>
      <c r="B14" s="4">
        <f>COUNTA('Danh sách task'!C5:C30)</f>
        <v/>
      </c>
    </row>
    <row r="15">
      <c r="A15" s="8" t="inlineStr">
        <is>
          <t>Tổng ngày công</t>
        </is>
      </c>
      <c r="B15" s="4">
        <f>SUM('Danh sách task'!H5:H30)</f>
        <v/>
      </c>
    </row>
    <row r="16">
      <c r="A16" s="8" t="inlineStr">
        <is>
          <t>Đã xong</t>
        </is>
      </c>
      <c r="B16" s="4">
        <f>COUNTIF('Danh sách task'!K5:K30,"Xong")</f>
        <v/>
      </c>
    </row>
    <row r="17">
      <c r="A17" s="8" t="inlineStr">
        <is>
          <t>Đang làm</t>
        </is>
      </c>
      <c r="B17" s="4">
        <f>COUNTIF('Danh sách task'!K5:K30,"Đang làm")</f>
        <v/>
      </c>
    </row>
    <row r="18">
      <c r="A18" s="8" t="inlineStr">
        <is>
          <t>Chưa làm</t>
        </is>
      </c>
      <c r="B18" s="4">
        <f>COUNTIF('Danh sách task'!K5:K30,"Chưa làm")</f>
        <v/>
      </c>
    </row>
    <row r="20" ht="24" customHeight="1">
      <c r="A20" s="3" t="inlineStr">
        <is>
          <t>PHÂN CÔNG</t>
        </is>
      </c>
    </row>
    <row r="21" ht="28" customHeight="1">
      <c r="A21" s="9" t="inlineStr">
        <is>
          <t>Người</t>
        </is>
      </c>
      <c r="B21" s="9" t="inlineStr">
        <is>
          <t>Phạm vi</t>
        </is>
      </c>
      <c r="C21" s="9" t="inlineStr">
        <is>
          <t>Nội dung chính</t>
        </is>
      </c>
      <c r="D21" s="9" t="inlineStr">
        <is>
          <t>Số task</t>
        </is>
      </c>
      <c r="E21" s="9" t="inlineStr">
        <is>
          <t>Ngày công</t>
        </is>
      </c>
      <c r="F21" s="9" t="inlineStr">
        <is>
          <t>Ghi chú</t>
        </is>
      </c>
    </row>
    <row r="22" ht="32" customHeight="1">
      <c r="A22" s="10" t="inlineStr">
        <is>
          <t>Người 1</t>
        </is>
      </c>
      <c r="B22" s="11" t="inlineStr">
        <is>
          <t>Thanh toán &amp; đơn hàng</t>
        </is>
      </c>
      <c r="C22" s="11" t="inlineStr">
        <is>
          <t>Backend thanh toán, webhook, escrow, UI trả tiền</t>
        </is>
      </c>
      <c r="D22" s="12">
        <f>COUNTIF('Danh sách task'!F5:F30,"Người 1")</f>
        <v/>
      </c>
      <c r="E22" s="12">
        <f>SUMIF('Danh sách task'!F5:F30,"Người 1",'Danh sách task'!H5:H30)</f>
        <v/>
      </c>
      <c r="F22" s="12" t="inlineStr">
        <is>
          <t>Cao</t>
        </is>
      </c>
    </row>
    <row r="23" ht="32" customHeight="1">
      <c r="A23" s="13" t="inlineStr">
        <is>
          <t>Người 2</t>
        </is>
      </c>
      <c r="B23" s="14" t="inlineStr">
        <is>
          <t>Trang chủ &amp; khám phá</t>
        </is>
      </c>
      <c r="C23" s="14" t="inlineStr">
        <is>
          <t>API xếp hạng, section trang chủ, sắp xếp, index</t>
        </is>
      </c>
      <c r="D23" s="15">
        <f>COUNTIF('Danh sách task'!F5:F30,"Người 2")</f>
        <v/>
      </c>
      <c r="E23" s="15">
        <f>SUMIF('Danh sách task'!F5:F30,"Người 2",'Danh sách task'!H5:H30)</f>
        <v/>
      </c>
      <c r="F23" s="15" t="inlineStr">
        <is>
          <t>Cao</t>
        </is>
      </c>
    </row>
    <row r="24" ht="32" customHeight="1">
      <c r="A24" s="10" t="inlineStr">
        <is>
          <t>Người 3</t>
        </is>
      </c>
      <c r="B24" s="11" t="inlineStr">
        <is>
          <t>Tài khoản &amp; tin cậy</t>
        </is>
      </c>
      <c r="C24" s="11" t="inlineStr">
        <is>
          <t>Google, địa chỉ, báo cáo shop/user, cảm xúc, admin danh mục</t>
        </is>
      </c>
      <c r="D24" s="12">
        <f>COUNTIF('Danh sách task'!F5:F30,"Người 3")</f>
        <v/>
      </c>
      <c r="E24" s="12">
        <f>SUMIF('Danh sách task'!F5:F30,"Người 3",'Danh sách task'!H5:H30)</f>
        <v/>
      </c>
      <c r="F24" s="12" t="inlineStr">
        <is>
          <t>Cao</t>
        </is>
      </c>
    </row>
    <row r="25" ht="32" customHeight="1">
      <c r="A25" s="13" t="inlineStr">
        <is>
          <t>Người 4</t>
        </is>
      </c>
      <c r="B25" s="14" t="inlineStr">
        <is>
          <t>Nền tảng &amp; QA</t>
        </is>
      </c>
      <c r="C25" s="14" t="inlineStr">
        <is>
          <t>Email, AI, Playwright, CI, deploy, mobile/a11y, bundle</t>
        </is>
      </c>
      <c r="D25" s="15">
        <f>COUNTIF('Danh sách task'!F5:F30,"Người 4")</f>
        <v/>
      </c>
      <c r="E25" s="15">
        <f>SUMIF('Danh sách task'!F5:F30,"Người 4",'Danh sách task'!H5:H30)</f>
        <v/>
      </c>
      <c r="F25" s="15" t="inlineStr">
        <is>
          <t>Cao</t>
        </is>
      </c>
    </row>
    <row r="28" ht="24" customHeight="1">
      <c r="A28" s="3" t="inlineStr">
        <is>
          <t>CÁCH DÙNG FILE</t>
        </is>
      </c>
    </row>
    <row r="29" ht="26" customHeight="1">
      <c r="A29" s="16" t="inlineStr">
        <is>
          <t>1. Mở sheet 'Danh sách task' để xem toàn bộ việc. Lọc theo cột 'Người làm' hoặc 'Trạng thái'.</t>
        </is>
      </c>
    </row>
    <row r="30" ht="26" customHeight="1">
      <c r="A30" s="16" t="inlineStr">
        <is>
          <t>2. Khi bắt đầu làm, đổi Trạng thái sang 'Đang làm'. Khi xong, đổi sang 'Xong'.</t>
        </is>
      </c>
    </row>
    <row r="31" ht="26" customHeight="1">
      <c r="A31" s="16" t="inlineStr">
        <is>
          <t>3. Cột 'Kết quả cần đạt' là điều kiện nghiệm thu. Chưa đạt thì chưa đánh dấu Xong.</t>
        </is>
      </c>
    </row>
    <row r="32" ht="26" customHeight="1">
      <c r="A32" s="16" t="inlineStr">
        <is>
          <t>4. Sheet 'Lịch 2 tuần' chỉ là gợi ý; có thể kéo task sang ngày khác nếu vướng.</t>
        </is>
      </c>
    </row>
    <row r="33" ht="26" customHeight="1">
      <c r="A33" s="16" t="inlineStr">
        <is>
          <t>5. Trước khi phát hành, cả nhóm chạy lại test và cập nhật tài liệu.</t>
        </is>
      </c>
    </row>
    <row r="35" ht="24" customHeight="1">
      <c r="A35" s="3" t="inlineStr">
        <is>
          <t>QUY ƯỚC</t>
        </is>
      </c>
    </row>
    <row r="36">
      <c r="A36" s="17" t="inlineStr">
        <is>
          <t>✅ Đủ</t>
        </is>
      </c>
      <c r="B36" s="18" t="inlineStr">
        <is>
          <t>Chức năng dùng được ngay.</t>
        </is>
      </c>
    </row>
    <row r="37">
      <c r="A37" s="17" t="inlineStr">
        <is>
          <t>⚠️ Một phần</t>
        </is>
      </c>
      <c r="B37" s="18" t="inlineStr">
        <is>
          <t>Đã có nhưng cần cấu hình hoặc còn giới hạn.</t>
        </is>
      </c>
    </row>
    <row r="38">
      <c r="A38" s="17" t="inlineStr">
        <is>
          <t>❌ Chưa có</t>
        </is>
      </c>
      <c r="B38" s="18" t="inlineStr">
        <is>
          <t>Chưa làm, cần task tương ứng.</t>
        </is>
      </c>
    </row>
    <row r="39">
      <c r="A39" s="17" t="inlineStr">
        <is>
          <t>Ưu tiên Cao</t>
        </is>
      </c>
      <c r="B39" s="18" t="inlineStr">
        <is>
          <t>Làm trước, ảnh hưởng bản phát hành.</t>
        </is>
      </c>
    </row>
    <row r="40">
      <c r="A40" s="17" t="inlineStr">
        <is>
          <t>Ưu tiên Trung bình/Thấp</t>
        </is>
      </c>
      <c r="B40" s="18" t="inlineStr">
        <is>
          <t>Làm sau khi phần Cao xong.</t>
        </is>
      </c>
    </row>
    <row r="43" ht="30" customHeight="1">
      <c r="A43" s="19" t="inlineStr">
        <is>
          <t>Rủi ro chính: thanh toán cần tài khoản sandbox. Chưa có thì làm T2 (trang chủ) và T3 (tài khoản) trước, T1 làm sau.</t>
        </is>
      </c>
    </row>
  </sheetData>
  <mergeCells count="24">
    <mergeCell ref="B7:F7"/>
    <mergeCell ref="A12:F12"/>
    <mergeCell ref="A2:F2"/>
    <mergeCell ref="A33:F33"/>
    <mergeCell ref="B39:F39"/>
    <mergeCell ref="A32:F32"/>
    <mergeCell ref="A35:F35"/>
    <mergeCell ref="A4:F4"/>
    <mergeCell ref="B8:F8"/>
    <mergeCell ref="A20:F20"/>
    <mergeCell ref="A29:F29"/>
    <mergeCell ref="A43:F43"/>
    <mergeCell ref="A28:F28"/>
    <mergeCell ref="B38:F38"/>
    <mergeCell ref="B10:F10"/>
    <mergeCell ref="A31:F31"/>
    <mergeCell ref="B37:F37"/>
    <mergeCell ref="A30:F30"/>
    <mergeCell ref="B40:F40"/>
    <mergeCell ref="B9:F9"/>
    <mergeCell ref="B6:F6"/>
    <mergeCell ref="A1:F1"/>
    <mergeCell ref="B5:F5"/>
    <mergeCell ref="B36:F36"/>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L3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34" customWidth="1" min="3" max="3"/>
    <col width="48" customWidth="1" min="4" max="4"/>
    <col width="52" customWidth="1" min="5" max="5"/>
    <col width="11" customWidth="1" min="6" max="6"/>
    <col width="9" customWidth="1" min="7" max="7"/>
    <col width="9" customWidth="1" min="8" max="8"/>
    <col width="18" customWidth="1" min="9" max="9"/>
    <col width="40" customWidth="1" min="10" max="10"/>
    <col width="12" customWidth="1" min="11" max="11"/>
    <col width="27" customWidth="1" min="12" max="12"/>
  </cols>
  <sheetData>
    <row r="1" ht="34" customHeight="1">
      <c r="A1" s="20" t="inlineStr">
        <is>
          <t>DANH SÁCH TASK — 26 VIỆC</t>
        </is>
      </c>
    </row>
    <row r="2" ht="22" customHeight="1">
      <c r="A2" s="21" t="inlineStr">
        <is>
          <t>Lọc theo Người làm hoặc Trạng thái. Cột 'Kết quả cần đạt' dùng để nghiệm thu.</t>
        </is>
      </c>
    </row>
    <row r="4" ht="38" customHeight="1">
      <c r="A4" s="9" t="inlineStr">
        <is>
          <t>STT</t>
        </is>
      </c>
      <c r="B4" s="9" t="inlineStr">
        <is>
          <t>Nhóm</t>
        </is>
      </c>
      <c r="C4" s="9" t="inlineStr">
        <is>
          <t>Tên việc (dễ hiểu)</t>
        </is>
      </c>
      <c r="D4" s="9" t="inlineStr">
        <is>
          <t>Mô tả dễ hiểu</t>
        </is>
      </c>
      <c r="E4" s="9" t="inlineStr">
        <is>
          <t>Các bước chính</t>
        </is>
      </c>
      <c r="F4" s="9" t="inlineStr">
        <is>
          <t>Người làm</t>
        </is>
      </c>
      <c r="G4" s="9" t="inlineStr">
        <is>
          <t>Ưu tiên</t>
        </is>
      </c>
      <c r="H4" s="9" t="inlineStr">
        <is>
          <t>Ngày công</t>
        </is>
      </c>
      <c r="I4" s="9" t="inlineStr">
        <is>
          <t>Phụ thuộc</t>
        </is>
      </c>
      <c r="J4" s="9" t="inlineStr">
        <is>
          <t>Kết quả cần đạt</t>
        </is>
      </c>
      <c r="K4" s="9" t="inlineStr">
        <is>
          <t>Trạng thái</t>
        </is>
      </c>
      <c r="L4" s="9" t="inlineStr">
        <is>
          <t>Ghi chú kỹ thuật</t>
        </is>
      </c>
    </row>
    <row r="5" ht="62" customHeight="1">
      <c r="A5" s="15" t="n">
        <v>1</v>
      </c>
      <c r="B5" s="14" t="inlineStr">
        <is>
          <t>1. Thanh toán</t>
        </is>
      </c>
      <c r="C5" s="13" t="inlineStr">
        <is>
          <t>Kết nối cổng thanh toán (chạy thử)</t>
        </is>
      </c>
      <c r="D5" s="14" t="inlineStr">
        <is>
          <t>Khách có thể trả tiền qua MoMo/VNPay thay vì chỉ dùng ví nội bộ. Trước mắt chạy ở môi trường thử nghiệm của nhà cung cấp.</t>
        </is>
      </c>
      <c r="E5" s="14" t="inlineStr">
        <is>
          <t>1. Chọn MoMo hoặc VNPay.
2. Đăng ký tài khoản thử nghiệm, lấy mã cửa hàng.
3. Viết phần tạo giao dịch và kiểm tra phản hồi.
4. Lưu mã bí mật vào .env, không đưa lên GitHub.</t>
        </is>
      </c>
      <c r="F5" s="14" t="inlineStr">
        <is>
          <t>Người 1</t>
        </is>
      </c>
      <c r="G5" s="22" t="inlineStr">
        <is>
          <t>Cao</t>
        </is>
      </c>
      <c r="H5" s="23" t="n">
        <v>1.5</v>
      </c>
      <c r="I5" s="14" t="inlineStr">
        <is>
          <t>Có tài khoản thử nghiệm</t>
        </is>
      </c>
      <c r="J5" s="14" t="inlineStr">
        <is>
          <t>Tạo được link/QR thanh toán thử; mở được trang thanh toán của nhà cung cấp.</t>
        </is>
      </c>
      <c r="K5" s="24" t="inlineStr">
        <is>
          <t>Chưa làm</t>
        </is>
      </c>
      <c r="L5" s="14" t="inlineStr">
        <is>
          <t>backend/app/services/payments/, config.py</t>
        </is>
      </c>
    </row>
    <row r="6" ht="62" customHeight="1">
      <c r="A6" s="12" t="n">
        <v>2</v>
      </c>
      <c r="B6" s="11" t="inlineStr">
        <is>
          <t>1. Thanh toán</t>
        </is>
      </c>
      <c r="C6" s="10" t="inlineStr">
        <is>
          <t>Lưu lại từng giao dịch thanh toán</t>
        </is>
      </c>
      <c r="D6" s="11" t="inlineStr">
        <is>
          <t>Mỗi lần khách bấm trả tiền, hệ thống ghi lại: ai trả, trả cho đơn nào, bao nhiêu, đang chờ/thành công/thất bại. Nhờ vậy không bị mất dấu tiền.</t>
        </is>
      </c>
      <c r="E6" s="11" t="inlineStr">
        <is>
          <t>1. Tạo bảng PaymentIntent.
2. Viết migration thêm bảng.
3. Ghi bản ghi khi tạo giao dịch.
4. Cập nhật trạng thái khi có kết quả.</t>
        </is>
      </c>
      <c r="F6" s="11" t="inlineStr">
        <is>
          <t>Người 1</t>
        </is>
      </c>
      <c r="G6" s="22" t="inlineStr">
        <is>
          <t>Cao</t>
        </is>
      </c>
      <c r="H6" s="25" t="n">
        <v>0.5</v>
      </c>
      <c r="I6" s="11" t="inlineStr">
        <is>
          <t>—</t>
        </is>
      </c>
      <c r="J6" s="11" t="inlineStr">
        <is>
          <t>Mỗi giao dịch có mã riêng, trạng thái rõ ràng, tra được theo đơn.</t>
        </is>
      </c>
      <c r="K6" s="24" t="inlineStr">
        <is>
          <t>Chưa làm</t>
        </is>
      </c>
      <c r="L6" s="11" t="inlineStr">
        <is>
          <t>models.py, alembic/versions</t>
        </is>
      </c>
    </row>
    <row r="7" ht="62" customHeight="1">
      <c r="A7" s="15" t="n">
        <v>3</v>
      </c>
      <c r="B7" s="14" t="inlineStr">
        <is>
          <t>1. Thanh toán</t>
        </is>
      </c>
      <c r="C7" s="13" t="inlineStr">
        <is>
          <t>Nhận kết quả thanh toán tự động (webhook)</t>
        </is>
      </c>
      <c r="D7" s="14" t="inlineStr">
        <is>
          <t>Khi khách trả xong, nhà cung cấp gọi về server. Server kiểm tra chữ ký rồi mới cộng tiền/chuyển đơn. Gọi lại nhiều lần cũng không cộng tiền 2 lần.</t>
        </is>
      </c>
      <c r="E7" s="14" t="inlineStr">
        <is>
          <t>1. Làm endpoint nhận thông báo.
2. Kiểm tra chữ ký.
3. Kiểm tra giao dịch đã xử lý chưa.
4. Cập nhật đơn + ký quỹ + ví trong 1 lần.
5. Ghi log để đối soát.</t>
        </is>
      </c>
      <c r="F7" s="14" t="inlineStr">
        <is>
          <t>Người 1</t>
        </is>
      </c>
      <c r="G7" s="22" t="inlineStr">
        <is>
          <t>Cao</t>
        </is>
      </c>
      <c r="H7" s="23" t="n">
        <v>2</v>
      </c>
      <c r="I7" s="14" t="inlineStr">
        <is>
          <t>T1.1, T1.2</t>
        </is>
      </c>
      <c r="J7" s="14" t="inlineStr">
        <is>
          <t>Webhook sandbox cập nhật đúng; gửi trùng không cộng tiền lần 2; chữ ký sai bị từ chối.</t>
        </is>
      </c>
      <c r="K7" s="24" t="inlineStr">
        <is>
          <t>Chưa làm</t>
        </is>
      </c>
      <c r="L7" s="14" t="inlineStr">
        <is>
          <t>routers/payments.py, services/escrow.py</t>
        </is>
      </c>
    </row>
    <row r="8" ht="62" customHeight="1">
      <c r="A8" s="12" t="n">
        <v>4</v>
      </c>
      <c r="B8" s="11" t="inlineStr">
        <is>
          <t>1. Thanh toán</t>
        </is>
      </c>
      <c r="C8" s="10" t="inlineStr">
        <is>
          <t>Cho phép cọc và trả phần còn lại bằng cổng ngoài</t>
        </is>
      </c>
      <c r="D8" s="11" t="inlineStr">
        <is>
          <t>Hiện chỉ cọc được bằng ví. Mở thêm để khách chọn MoMo/VNPay/chuyển khoản khi cọc hoặc trả phần còn lại.</t>
        </is>
      </c>
      <c r="E8" s="11" t="inlineStr">
        <is>
          <t>1. Bỏ giới hạn chỉ ví.
2. Nối giao dịch ngoài với đơn hàng.
3. Chỉ chuyển trạng thái đơn khi tiền đã được xác nhận.</t>
        </is>
      </c>
      <c r="F8" s="11" t="inlineStr">
        <is>
          <t>Người 1</t>
        </is>
      </c>
      <c r="G8" s="22" t="inlineStr">
        <is>
          <t>Cao</t>
        </is>
      </c>
      <c r="H8" s="25" t="n">
        <v>1</v>
      </c>
      <c r="I8" s="11" t="inlineStr">
        <is>
          <t>T1.3</t>
        </is>
      </c>
      <c r="J8" s="11" t="inlineStr">
        <is>
          <t>Đơn chuyển sang 'Đã cọc'/'Đã thanh toán' đúng; chưa trả tiền thì đơn giữ nguyên.</t>
        </is>
      </c>
      <c r="K8" s="24" t="inlineStr">
        <is>
          <t>Chưa làm</t>
        </is>
      </c>
      <c r="L8" s="11" t="inlineStr">
        <is>
          <t>routers/escrow.py, orders.py</t>
        </is>
      </c>
    </row>
    <row r="9" ht="62" customHeight="1">
      <c r="A9" s="15" t="n">
        <v>5</v>
      </c>
      <c r="B9" s="14" t="inlineStr">
        <is>
          <t>1. Thanh toán</t>
        </is>
      </c>
      <c r="C9" s="13" t="inlineStr">
        <is>
          <t>Giao diện chọn thanh toán</t>
        </is>
      </c>
      <c r="D9" s="14" t="inlineStr">
        <is>
          <t>Trên giỏ hàng/chi tiết đơn có thêm lựa chọn MoMo, VNPay, chuyển khoản. Bấm trả tiền mở trang/QR; quay lại hiển thị đang chờ hay thành công.</t>
        </is>
      </c>
      <c r="E9" s="14" t="inlineStr">
        <is>
          <t>1. Thêm lựa chọn thanh toán.
2. Gọi API tạo thanh toán.
3. Mở link/QR.
4. Hiển thị trạng thái chờ.
5. Bỏ nhãn 'demo' khi bật thật.</t>
        </is>
      </c>
      <c r="F9" s="14" t="inlineStr">
        <is>
          <t>Người 1</t>
        </is>
      </c>
      <c r="G9" s="22" t="inlineStr">
        <is>
          <t>Cao</t>
        </is>
      </c>
      <c r="H9" s="23" t="n">
        <v>1.5</v>
      </c>
      <c r="I9" s="14" t="inlineStr">
        <is>
          <t>T1.3</t>
        </is>
      </c>
      <c r="J9" s="14" t="inlineStr">
        <is>
          <t>Khách đi hết luồng trên giao diện, thấy trạng thái rõ ràng, không phải tải lại trang.</t>
        </is>
      </c>
      <c r="K9" s="24" t="inlineStr">
        <is>
          <t>Chưa làm</t>
        </is>
      </c>
      <c r="L9" s="14" t="inlineStr">
        <is>
          <t>Cart.jsx, OrderDetail.jsx, Wallet.jsx</t>
        </is>
      </c>
    </row>
    <row r="10" ht="62" customHeight="1">
      <c r="A10" s="12" t="n">
        <v>6</v>
      </c>
      <c r="B10" s="11" t="inlineStr">
        <is>
          <t>1. Thanh toán</t>
        </is>
      </c>
      <c r="C10" s="10" t="inlineStr">
        <is>
          <t>Kiểm thử thanh toán và đối soát</t>
        </is>
      </c>
      <c r="D10" s="11" t="inlineStr">
        <is>
          <t>Thử các tình huống: trả thành công, huỷ giữa chừng, mạng lỗi, nhà cung cấp gọi 2 lần. Cuối ngày đối chiếu tiền trong hệ thống với tiền thật.</t>
        </is>
      </c>
      <c r="E10" s="11" t="inlineStr">
        <is>
          <t>1. Viết test tự động.
2. Thử trên sandbox.
3. Viết script đối soát.
4. Ghi lại cách xử lý khi lệch tiền.</t>
        </is>
      </c>
      <c r="F10" s="11" t="inlineStr">
        <is>
          <t>Người 1</t>
        </is>
      </c>
      <c r="G10" s="22" t="inlineStr">
        <is>
          <t>Cao</t>
        </is>
      </c>
      <c r="H10" s="25" t="n">
        <v>1</v>
      </c>
      <c r="I10" s="11" t="inlineStr">
        <is>
          <t>T1.3–T1.5</t>
        </is>
      </c>
      <c r="J10" s="11" t="inlineStr">
        <is>
          <t>Có test cho 4 tình huống; script đối soát chạy được; báo cáo lệch nếu có.</t>
        </is>
      </c>
      <c r="K10" s="24" t="inlineStr">
        <is>
          <t>Chưa làm</t>
        </is>
      </c>
      <c r="L10" s="11" t="inlineStr">
        <is>
          <t>tests/test_payments.py</t>
        </is>
      </c>
    </row>
    <row r="11" ht="62" customHeight="1">
      <c r="A11" s="15" t="n">
        <v>7</v>
      </c>
      <c r="B11" s="14" t="inlineStr">
        <is>
          <t>2. Trang chủ</t>
        </is>
      </c>
      <c r="C11" s="13" t="inlineStr">
        <is>
          <t>Thêm dữ liệu cho 3 danh sách trang chủ</t>
        </is>
      </c>
      <c r="D11" s="14" t="inlineStr">
        <is>
          <t>Chuẩn bị API trả về 3 danh sách: sản phẩm bán chạy, sản phẩm mới nhất, sản phẩm xem nhiều nhất.</t>
        </is>
      </c>
      <c r="E11" s="14" t="inlineStr">
        <is>
          <t>1. Định nghĩa 'bán chạy' = số đơn đã hoàn tất.
2. Viết truy vấn.
3. Thêm lựa chọn sắp xếp.
4. Loại đơn huỷ/hoàn tiền.</t>
        </is>
      </c>
      <c r="F11" s="14" t="inlineStr">
        <is>
          <t>Người 2</t>
        </is>
      </c>
      <c r="G11" s="22" t="inlineStr">
        <is>
          <t>Cao</t>
        </is>
      </c>
      <c r="H11" s="23" t="n">
        <v>1</v>
      </c>
      <c r="I11" s="14" t="inlineStr">
        <is>
          <t>—</t>
        </is>
      </c>
      <c r="J11" s="14" t="inlineStr">
        <is>
          <t>Gọi API nhận đúng 3 danh sách; bán chạy không tính đơn huỷ.</t>
        </is>
      </c>
      <c r="K11" s="24" t="inlineStr">
        <is>
          <t>Chưa làm</t>
        </is>
      </c>
      <c r="L11" s="14" t="inlineStr">
        <is>
          <t>routers/listings.py</t>
        </is>
      </c>
    </row>
    <row r="12" ht="62" customHeight="1">
      <c r="A12" s="12" t="n">
        <v>8</v>
      </c>
      <c r="B12" s="11" t="inlineStr">
        <is>
          <t>2. Trang chủ</t>
        </is>
      </c>
      <c r="C12" s="10" t="inlineStr">
        <is>
          <t>Làm trang chủ nhanh hơn</t>
        </is>
      </c>
      <c r="D12" s="11" t="inlineStr">
        <is>
          <t>Thêm chỉ mục cho các cột thường tìm: lượt xem, ngày đăng, trạng thái đơn. Giúp trang chủ không chậm khi dữ liệu nhiều.</t>
        </is>
      </c>
      <c r="E12" s="11" t="inlineStr">
        <is>
          <t>1. Kiểm tra chỉ mục hiện có.
2. Tạo migration thêm index.
3. Đo thời gian trước/sau.</t>
        </is>
      </c>
      <c r="F12" s="11" t="inlineStr">
        <is>
          <t>Người 2</t>
        </is>
      </c>
      <c r="G12" s="26" t="inlineStr">
        <is>
          <t>Trung bình</t>
        </is>
      </c>
      <c r="H12" s="25" t="n">
        <v>0.5</v>
      </c>
      <c r="I12" s="11" t="inlineStr">
        <is>
          <t>—</t>
        </is>
      </c>
      <c r="J12" s="11" t="inlineStr">
        <is>
          <t>Trang chủ phản hồi dưới 0,5 giây với dữ liệu hiện tại.</t>
        </is>
      </c>
      <c r="K12" s="24" t="inlineStr">
        <is>
          <t>Chưa làm</t>
        </is>
      </c>
      <c r="L12" s="11" t="inlineStr">
        <is>
          <t>alembic/versions</t>
        </is>
      </c>
    </row>
    <row r="13" ht="62" customHeight="1">
      <c r="A13" s="15" t="n">
        <v>9</v>
      </c>
      <c r="B13" s="14" t="inlineStr">
        <is>
          <t>2. Trang chủ</t>
        </is>
      </c>
      <c r="C13" s="13" t="inlineStr">
        <is>
          <t>Hiện 3 khu vực trên trang chủ</t>
        </is>
      </c>
      <c r="D13" s="14" t="inlineStr">
        <is>
          <t>Trang chủ có thêm 3 hàng: 'Bán chạy', 'Mới nhất', 'Xem nhiều'. Mỗi hàng 8 sản phẩm, có nút xem tất cả.</t>
        </is>
      </c>
      <c r="E13" s="14" t="inlineStr">
        <is>
          <t>1. Gọi API.
2. Làm component hàng sản phẩm.
3. Thêm nút xem tất cả.
4. Kiểm tra trên điện thoại.</t>
        </is>
      </c>
      <c r="F13" s="14" t="inlineStr">
        <is>
          <t>Người 2</t>
        </is>
      </c>
      <c r="G13" s="22" t="inlineStr">
        <is>
          <t>Cao</t>
        </is>
      </c>
      <c r="H13" s="23" t="n">
        <v>1</v>
      </c>
      <c r="I13" s="14" t="inlineStr">
        <is>
          <t>T2.1</t>
        </is>
      </c>
      <c r="J13" s="14" t="inlineStr">
        <is>
          <t>3 khu vực hiện đúng, không trùng tin, bấm xem tất cả ra danh sách đã sắp xếp.</t>
        </is>
      </c>
      <c r="K13" s="24" t="inlineStr">
        <is>
          <t>Chưa làm</t>
        </is>
      </c>
      <c r="L13" s="14" t="inlineStr">
        <is>
          <t>pages/Catalog.jsx</t>
        </is>
      </c>
    </row>
    <row r="14" ht="62" customHeight="1">
      <c r="A14" s="12" t="n">
        <v>10</v>
      </c>
      <c r="B14" s="11" t="inlineStr">
        <is>
          <t>2. Trang chủ</t>
        </is>
      </c>
      <c r="C14" s="10" t="inlineStr">
        <is>
          <t>Thêm sắp xếp bán chạy/xem nhiều</t>
        </is>
      </c>
      <c r="D14" s="11" t="inlineStr">
        <is>
          <t>Trong danh sách sản phẩm, ô 'Sắp xếp' có thêm 'Bán chạy' và 'Xem nhiều'.</t>
        </is>
      </c>
      <c r="E14" s="11" t="inlineStr">
        <is>
          <t>1. Thêm lựa chọn.
2. Ghi lựa chọn vào URL.
3. Nối API.
4. Giữ lựa chọn khi chuyển trang.</t>
        </is>
      </c>
      <c r="F14" s="11" t="inlineStr">
        <is>
          <t>Người 2</t>
        </is>
      </c>
      <c r="G14" s="26" t="inlineStr">
        <is>
          <t>Trung bình</t>
        </is>
      </c>
      <c r="H14" s="25" t="n">
        <v>0.5</v>
      </c>
      <c r="I14" s="11" t="inlineStr">
        <is>
          <t>T2.1</t>
        </is>
      </c>
      <c r="J14" s="11" t="inlineStr">
        <is>
          <t>Chọn kiểu sắp xếp nào cũng ra đúng thứ tự; tải lại trang vẫn giữ.</t>
        </is>
      </c>
      <c r="K14" s="24" t="inlineStr">
        <is>
          <t>Chưa làm</t>
        </is>
      </c>
      <c r="L14" s="11" t="inlineStr">
        <is>
          <t>pages/Catalog.jsx</t>
        </is>
      </c>
    </row>
    <row r="15" ht="62" customHeight="1">
      <c r="A15" s="15" t="n">
        <v>11</v>
      </c>
      <c r="B15" s="14" t="inlineStr">
        <is>
          <t>2. Trang chủ</t>
        </is>
      </c>
      <c r="C15" s="13" t="inlineStr">
        <is>
          <t>Kiểm thử trang chủ và danh sách</t>
        </is>
      </c>
      <c r="D15" s="14" t="inlineStr">
        <is>
          <t>Thử máy tính + điện thoại; kiểm tra 3 khu vực, sắp xếp, phân trang, trường hợp không có sản phẩm.</t>
        </is>
      </c>
      <c r="E15" s="14" t="inlineStr">
        <is>
          <t>1. Viết test API.
2. Chạy Playwright.
3. Chụp màn hình 375px.</t>
        </is>
      </c>
      <c r="F15" s="14" t="inlineStr">
        <is>
          <t>Người 2</t>
        </is>
      </c>
      <c r="G15" s="26" t="inlineStr">
        <is>
          <t>Trung bình</t>
        </is>
      </c>
      <c r="H15" s="23" t="n">
        <v>1</v>
      </c>
      <c r="I15" s="14" t="inlineStr">
        <is>
          <t>T2.1–T2.4</t>
        </is>
      </c>
      <c r="J15" s="14" t="inlineStr">
        <is>
          <t>Không lỗi console; không tràn ngang trên điện thoại; test xanh.</t>
        </is>
      </c>
      <c r="K15" s="24" t="inlineStr">
        <is>
          <t>Chưa làm</t>
        </is>
      </c>
      <c r="L15" s="14" t="inlineStr">
        <is>
          <t>tests/, e2e/</t>
        </is>
      </c>
    </row>
    <row r="16" ht="62" customHeight="1">
      <c r="A16" s="12" t="n">
        <v>12</v>
      </c>
      <c r="B16" s="11" t="inlineStr">
        <is>
          <t>3. Tài khoản &amp; tin cậy</t>
        </is>
      </c>
      <c r="C16" s="10" t="inlineStr">
        <is>
          <t>Bật đăng nhập bằng Google</t>
        </is>
      </c>
      <c r="D16" s="11" t="inlineStr">
        <is>
          <t>Trên trang đăng nhập hiện nút 'Đăng nhập bằng Google'. Khách bấm, chọn tài khoản Google, hệ thống tự đăng nhập hoặc tạo tài khoản mới.</t>
        </is>
      </c>
      <c r="E16" s="11" t="inlineStr">
        <is>
          <t>1. Tạo Client ID trên Google Cloud.
2. Điền 2 biến môi trường.
3. Thử đăng nhập lần đầu.
4. Thử tài khoản đã có.
5. Ghi hướng dẫn.</t>
        </is>
      </c>
      <c r="F16" s="11" t="inlineStr">
        <is>
          <t>Người 3</t>
        </is>
      </c>
      <c r="G16" s="22" t="inlineStr">
        <is>
          <t>Cao</t>
        </is>
      </c>
      <c r="H16" s="25" t="n">
        <v>0.5</v>
      </c>
      <c r="I16" s="11" t="inlineStr">
        <is>
          <t>Có Client ID</t>
        </is>
      </c>
      <c r="J16" s="11" t="inlineStr">
        <is>
          <t>Đăng nhập Google vào đúng tài khoản; thiếu cấu hình thì nút ẩn, không lỗi.</t>
        </is>
      </c>
      <c r="K16" s="24" t="inlineStr">
        <is>
          <t>Chưa làm</t>
        </is>
      </c>
      <c r="L16" s="11" t="inlineStr">
        <is>
          <t>Auth.jsx, auth.py, .env.example</t>
        </is>
      </c>
    </row>
    <row r="17" ht="62" customHeight="1">
      <c r="A17" s="15" t="n">
        <v>13</v>
      </c>
      <c r="B17" s="14" t="inlineStr">
        <is>
          <t>3. Tài khoản &amp; tin cậy</t>
        </is>
      </c>
      <c r="C17" s="13" t="inlineStr">
        <is>
          <t>Sửa địa chỉ nhận hàng</t>
        </is>
      </c>
      <c r="D17" s="14" t="inlineStr">
        <is>
          <t>Hiện chỉ thêm/xoá địa chỉ. Bổ sung nút 'Sửa' để đổi tên người nhận, số điện thoại, địa chỉ.</t>
        </is>
      </c>
      <c r="E17" s="14" t="inlineStr">
        <is>
          <t>1. Thêm API sửa địa chỉ.
2. Thêm form sửa.
3. Chỉ chủ tài khoản sửa được.
4. Test.</t>
        </is>
      </c>
      <c r="F17" s="14" t="inlineStr">
        <is>
          <t>Người 3</t>
        </is>
      </c>
      <c r="G17" s="26" t="inlineStr">
        <is>
          <t>Trung bình</t>
        </is>
      </c>
      <c r="H17" s="23" t="n">
        <v>0.5</v>
      </c>
      <c r="I17" s="14" t="inlineStr">
        <is>
          <t>—</t>
        </is>
      </c>
      <c r="J17" s="14" t="inlineStr">
        <is>
          <t>Sửa xong thấy ngay; người khác không sửa được.</t>
        </is>
      </c>
      <c r="K17" s="24" t="inlineStr">
        <is>
          <t>Chưa làm</t>
        </is>
      </c>
      <c r="L17" s="14" t="inlineStr">
        <is>
          <t>routers/users.py, Profile.jsx</t>
        </is>
      </c>
    </row>
    <row r="18" ht="62" customHeight="1">
      <c r="A18" s="12" t="n">
        <v>14</v>
      </c>
      <c r="B18" s="11" t="inlineStr">
        <is>
          <t>3. Tài khoản &amp; tin cậy</t>
        </is>
      </c>
      <c r="C18" s="10" t="inlineStr">
        <is>
          <t>Báo cáo shop/người dùng (phần server)</t>
        </is>
      </c>
      <c r="D18" s="11" t="inlineStr">
        <is>
          <t>Ngoài báo cáo tin đăng, khách có thể báo cả shop hoặc một người dùng. Admin nhận được báo cáo để xử lý.</t>
        </is>
      </c>
      <c r="E18" s="11" t="inlineStr">
        <is>
          <t>1. Thêm loại báo cáo SHOP/USER.
2. Kiểm tra dữ liệu.
3. Chống gửi trùng.
4. Gửi thông báo cho admin.</t>
        </is>
      </c>
      <c r="F18" s="11" t="inlineStr">
        <is>
          <t>Người 3</t>
        </is>
      </c>
      <c r="G18" s="22" t="inlineStr">
        <is>
          <t>Cao</t>
        </is>
      </c>
      <c r="H18" s="25" t="n">
        <v>1</v>
      </c>
      <c r="I18" s="11" t="inlineStr">
        <is>
          <t>—</t>
        </is>
      </c>
      <c r="J18" s="11" t="inlineStr">
        <is>
          <t>Tạo báo cáo shop/user thành công; báo cáo trùng bị chặn; admin thấy trong hàng đợi.</t>
        </is>
      </c>
      <c r="K18" s="24" t="inlineStr">
        <is>
          <t>Chưa làm</t>
        </is>
      </c>
      <c r="L18" s="11" t="inlineStr">
        <is>
          <t>routers/reports.py</t>
        </is>
      </c>
    </row>
    <row r="19" ht="62" customHeight="1">
      <c r="A19" s="15" t="n">
        <v>15</v>
      </c>
      <c r="B19" s="14" t="inlineStr">
        <is>
          <t>3. Tài khoản &amp; tin cậy</t>
        </is>
      </c>
      <c r="C19" s="13" t="inlineStr">
        <is>
          <t>Nút báo cáo trên giao diện + admin xử lý</t>
        </is>
      </c>
      <c r="D19" s="14" t="inlineStr">
        <is>
          <t>Trang shop/chat/hồ sơ có nút 'Báo cáo'. Admin có thể cảnh cáo, khoá tạm, khoá vĩnh viễn.</t>
        </is>
      </c>
      <c r="E19" s="14" t="inlineStr">
        <is>
          <t>1. Thêm nút + form lý do.
2. Hiển thị trong admin.
3. Nối hành động xử lý.
4. Ẩn danh người báo.</t>
        </is>
      </c>
      <c r="F19" s="14" t="inlineStr">
        <is>
          <t>Người 3</t>
        </is>
      </c>
      <c r="G19" s="22" t="inlineStr">
        <is>
          <t>Cao</t>
        </is>
      </c>
      <c r="H19" s="23" t="n">
        <v>1</v>
      </c>
      <c r="I19" s="14" t="inlineStr">
        <is>
          <t>T3.3</t>
        </is>
      </c>
      <c r="J19" s="14" t="inlineStr">
        <is>
          <t>Gửi báo cáo từ 3 màn hình; admin xử lý được; người bị báo không thấy ai báo.</t>
        </is>
      </c>
      <c r="K19" s="24" t="inlineStr">
        <is>
          <t>Chưa làm</t>
        </is>
      </c>
      <c r="L19" s="14" t="inlineStr">
        <is>
          <t>Shop.jsx, Chat.jsx, Admin.jsx</t>
        </is>
      </c>
    </row>
    <row r="20" ht="62" customHeight="1">
      <c r="A20" s="12" t="n">
        <v>16</v>
      </c>
      <c r="B20" s="11" t="inlineStr">
        <is>
          <t>3. Tài khoản &amp; tin cậy</t>
        </is>
      </c>
      <c r="C20" s="10" t="inlineStr">
        <is>
          <t>Hiện cảm xúc đánh giá trên trang sản phẩm</t>
        </is>
      </c>
      <c r="D20" s="11" t="inlineStr">
        <is>
          <t>Trang sản phẩm có dòng tóm tắt kiểu '12 đánh giá: 8 tích cực, 3 trung lập, 1 tiêu cực' để người mua dễ tham khảo.</t>
        </is>
      </c>
      <c r="E20" s="11" t="inlineStr">
        <is>
          <t>1. Làm API thống kê theo sản phẩm.
2. Tính bằng AI nếu có key, không thì dùng từ khoá.
3. Hiển thị trong phần đánh giá.</t>
        </is>
      </c>
      <c r="F20" s="11" t="inlineStr">
        <is>
          <t>Người 3</t>
        </is>
      </c>
      <c r="G20" s="26" t="inlineStr">
        <is>
          <t>Trung bình</t>
        </is>
      </c>
      <c r="H20" s="25" t="n">
        <v>1</v>
      </c>
      <c r="I20" s="11" t="inlineStr">
        <is>
          <t>—</t>
        </is>
      </c>
      <c r="J20" s="11" t="inlineStr">
        <is>
          <t>Trang sản phẩm hiện tóm tắt; thiếu AI key vẫn có kết quả.</t>
        </is>
      </c>
      <c r="K20" s="24" t="inlineStr">
        <is>
          <t>Chưa làm</t>
        </is>
      </c>
      <c r="L20" s="11" t="inlineStr">
        <is>
          <t>routers/reviews.py, Listing.jsx</t>
        </is>
      </c>
    </row>
    <row r="21" ht="62" customHeight="1">
      <c r="A21" s="15" t="n">
        <v>17</v>
      </c>
      <c r="B21" s="14" t="inlineStr">
        <is>
          <t>3. Tài khoản &amp; tin cậy</t>
        </is>
      </c>
      <c r="C21" s="13" t="inlineStr">
        <is>
          <t>Kiểm thử tài khoản và báo cáo</t>
        </is>
      </c>
      <c r="D21" s="14" t="inlineStr">
        <is>
          <t>Thử đăng nhập Google, sửa địa chỉ, báo cáo shop/user, báo cáo trùng, tự báo chính mình, phân quyền admin.</t>
        </is>
      </c>
      <c r="E21" s="14" t="inlineStr">
        <is>
          <t>1. Viết test backend.
2. Chạy tay 3 vai trò.
3. Ghi lại lỗi phát hiện.</t>
        </is>
      </c>
      <c r="F21" s="14" t="inlineStr">
        <is>
          <t>Người 3</t>
        </is>
      </c>
      <c r="G21" s="26" t="inlineStr">
        <is>
          <t>Trung bình</t>
        </is>
      </c>
      <c r="H21" s="23" t="n">
        <v>1</v>
      </c>
      <c r="I21" s="14" t="inlineStr">
        <is>
          <t>T3.1–T3.5</t>
        </is>
      </c>
      <c r="J21" s="14" t="inlineStr">
        <is>
          <t>Các trường hợp đều đúng; không lộ danh tính người báo.</t>
        </is>
      </c>
      <c r="K21" s="24" t="inlineStr">
        <is>
          <t>Chưa làm</t>
        </is>
      </c>
      <c r="L21" s="14" t="inlineStr">
        <is>
          <t>tests/</t>
        </is>
      </c>
    </row>
    <row r="22" ht="62" customHeight="1">
      <c r="A22" s="12" t="n">
        <v>18</v>
      </c>
      <c r="B22" s="11" t="inlineStr">
        <is>
          <t>3. Tài khoản &amp; tin cậy</t>
        </is>
      </c>
      <c r="C22" s="10" t="inlineStr">
        <is>
          <t>Trang admin quản lý danh mục</t>
        </is>
      </c>
      <c r="D22" s="11" t="inlineStr">
        <is>
          <t>Admin thêm/sửa/xoá danh mục sản phẩm trên giao diện, không phải gọi API bằng tay.</t>
        </is>
      </c>
      <c r="E22" s="11" t="inlineStr">
        <is>
          <t>1. Thêm tab Danh mục.
2. Làm danh sách + form.
3. Nối API có sẵn.
4. Kiểm tra xoá danh mục đang có tin.</t>
        </is>
      </c>
      <c r="F22" s="11" t="inlineStr">
        <is>
          <t>Người 3</t>
        </is>
      </c>
      <c r="G22" s="27" t="inlineStr">
        <is>
          <t>Thấp</t>
        </is>
      </c>
      <c r="H22" s="25" t="n">
        <v>1</v>
      </c>
      <c r="I22" s="11" t="inlineStr">
        <is>
          <t>—</t>
        </is>
      </c>
      <c r="J22" s="11" t="inlineStr">
        <is>
          <t>Thêm/sửa/xoá được; danh mục đang dùng bị chặn xoá hoặc cảnh báo.</t>
        </is>
      </c>
      <c r="K22" s="24" t="inlineStr">
        <is>
          <t>Chưa làm</t>
        </is>
      </c>
      <c r="L22" s="11" t="inlineStr">
        <is>
          <t>pages/Admin.jsx</t>
        </is>
      </c>
    </row>
    <row r="23" ht="62" customHeight="1">
      <c r="A23" s="15" t="n">
        <v>19</v>
      </c>
      <c r="B23" s="14" t="inlineStr">
        <is>
          <t>4. Nền tảng &amp; QA</t>
        </is>
      </c>
      <c r="C23" s="13" t="inlineStr">
        <is>
          <t>Gửi email thật</t>
        </is>
      </c>
      <c r="D23" s="14" t="inlineStr">
        <is>
          <t>Đăng ký/quên mật khẩu gửi email thật tới hộp thư người dùng, không chỉ ghi ra file.</t>
        </is>
      </c>
      <c r="E23" s="14" t="inlineStr">
        <is>
          <t>1. Xác minh tên miền với Resend.
2. Điền key + địa chỉ gửi.
3. Thử đăng ký/quên mật khẩu.
4. Kiểm tra thư rác, thử gửi lại.</t>
        </is>
      </c>
      <c r="F23" s="14" t="inlineStr">
        <is>
          <t>Người 4</t>
        </is>
      </c>
      <c r="G23" s="22" t="inlineStr">
        <is>
          <t>Cao</t>
        </is>
      </c>
      <c r="H23" s="23" t="n">
        <v>1</v>
      </c>
      <c r="I23" s="14" t="inlineStr">
        <is>
          <t>Có tên miền + Resend</t>
        </is>
      </c>
      <c r="J23" s="14" t="inlineStr">
        <is>
          <t>Nhận được thư trong hộp thư thật; OTP/link dùng được.</t>
        </is>
      </c>
      <c r="K23" s="24" t="inlineStr">
        <is>
          <t>Chưa làm</t>
        </is>
      </c>
      <c r="L23" s="14" t="inlineStr">
        <is>
          <t>services/mail.py, .env</t>
        </is>
      </c>
    </row>
    <row r="24" ht="62" customHeight="1">
      <c r="A24" s="12" t="n">
        <v>20</v>
      </c>
      <c r="B24" s="11" t="inlineStr">
        <is>
          <t>4. Nền tảng &amp; QA</t>
        </is>
      </c>
      <c r="C24" s="10" t="inlineStr">
        <is>
          <t>Bật AI thật cho trợ lý và cảm xúc</t>
        </is>
      </c>
      <c r="D24" s="11" t="inlineStr">
        <is>
          <t>Trợ lý tìm đồ hiểu câu nói tự nhiên; phần đánh giá tự phân loại tích cực/trung lập/tiêu cực.</t>
        </is>
      </c>
      <c r="E24" s="11" t="inlineStr">
        <is>
          <t>1. Điền OpenAI key/model.
2. Thử 20 câu mẫu.
3. Chỉnh hướng dẫn cho AI.
4. Kiểm tra chi phí và giới hạn.</t>
        </is>
      </c>
      <c r="F24" s="11" t="inlineStr">
        <is>
          <t>Người 4</t>
        </is>
      </c>
      <c r="G24" s="26" t="inlineStr">
        <is>
          <t>Trung bình</t>
        </is>
      </c>
      <c r="H24" s="25" t="n">
        <v>1</v>
      </c>
      <c r="I24" s="11" t="inlineStr">
        <is>
          <t>Có OpenAI key</t>
        </is>
      </c>
      <c r="J24" s="11" t="inlineStr">
        <is>
          <t>Câu mẫu ra bộ lọc hợp lý; lỗi AI thì tự quay về tìm từ khoá.</t>
        </is>
      </c>
      <c r="K24" s="24" t="inlineStr">
        <is>
          <t>Chưa làm</t>
        </is>
      </c>
      <c r="L24" s="11" t="inlineStr">
        <is>
          <t>services/ai.py, assistant.py</t>
        </is>
      </c>
    </row>
    <row r="25" ht="62" customHeight="1">
      <c r="A25" s="15" t="n">
        <v>21</v>
      </c>
      <c r="B25" s="14" t="inlineStr">
        <is>
          <t>4. Nền tảng &amp; QA</t>
        </is>
      </c>
      <c r="C25" s="13" t="inlineStr">
        <is>
          <t>Bộ test tự động trên trình duyệt</t>
        </is>
      </c>
      <c r="D25" s="14" t="inlineStr">
        <is>
          <t>Máy tự mở trình duyệt, bấm thử các luồng chính: đăng nhập, tìm hàng, thêm giỏ, đặt hàng, seller, admin.</t>
        </is>
      </c>
      <c r="E25" s="14" t="inlineStr">
        <is>
          <t>1. Cài Playwright.
2. Viết test theo luồng.
3. Dùng dữ liệu test riêng.
4. Chạy trên CI.</t>
        </is>
      </c>
      <c r="F25" s="14" t="inlineStr">
        <is>
          <t>Người 4</t>
        </is>
      </c>
      <c r="G25" s="22" t="inlineStr">
        <is>
          <t>Cao</t>
        </is>
      </c>
      <c r="H25" s="23" t="n">
        <v>2</v>
      </c>
      <c r="I25" s="14" t="inlineStr">
        <is>
          <t>T1.5</t>
        </is>
      </c>
      <c r="J25" s="14" t="inlineStr">
        <is>
          <t>Chạy 1 lệnh ra kết quả; test không phụ thuộc dữ liệu thật.</t>
        </is>
      </c>
      <c r="K25" s="24" t="inlineStr">
        <is>
          <t>Chưa làm</t>
        </is>
      </c>
      <c r="L25" s="14" t="inlineStr">
        <is>
          <t>e2e/, package.json</t>
        </is>
      </c>
    </row>
    <row r="26" ht="62" customHeight="1">
      <c r="A26" s="12" t="n">
        <v>22</v>
      </c>
      <c r="B26" s="11" t="inlineStr">
        <is>
          <t>4. Nền tảng &amp; QA</t>
        </is>
      </c>
      <c r="C26" s="10" t="inlineStr">
        <is>
          <t>CI tự chạy khi đẩy code</t>
        </is>
      </c>
      <c r="D26" s="11" t="inlineStr">
        <is>
          <t>Mỗi lần đẩy code lên GitHub, hệ thống tự chạy test backend, build frontend và test trình duyệt.</t>
        </is>
      </c>
      <c r="E26" s="11" t="inlineStr">
        <is>
          <t>1. Tạo workflow.
2. Dựng PostgreSQL tạm.
3. Chạy pytest/build/E2E.
4. Chặn merge nếu test đỏ.</t>
        </is>
      </c>
      <c r="F26" s="11" t="inlineStr">
        <is>
          <t>Người 4</t>
        </is>
      </c>
      <c r="G26" s="22" t="inlineStr">
        <is>
          <t>Cao</t>
        </is>
      </c>
      <c r="H26" s="25" t="n">
        <v>1</v>
      </c>
      <c r="I26" s="11" t="inlineStr">
        <is>
          <t>T4.3</t>
        </is>
      </c>
      <c r="J26" s="11" t="inlineStr">
        <is>
          <t>PR hiện dấu xanh/đỏ; lỗi test chặn merge.</t>
        </is>
      </c>
      <c r="K26" s="24" t="inlineStr">
        <is>
          <t>Chưa làm</t>
        </is>
      </c>
      <c r="L26" s="11" t="inlineStr">
        <is>
          <t>.github/workflows/</t>
        </is>
      </c>
    </row>
    <row r="27" ht="62" customHeight="1">
      <c r="A27" s="15" t="n">
        <v>23</v>
      </c>
      <c r="B27" s="14" t="inlineStr">
        <is>
          <t>4. Nền tảng &amp; QA</t>
        </is>
      </c>
      <c r="C27" s="13" t="inlineStr">
        <is>
          <t>Đưa lên server chạy thật</t>
        </is>
      </c>
      <c r="D27" s="14" t="inlineStr">
        <is>
          <t>Cài backend + bản build frontend trên server, có HTTPS, tên miền, backup và cách khôi phục.</t>
        </is>
      </c>
      <c r="E27" s="14" t="inlineStr">
        <is>
          <t>1. Chọn nginx/systemd hoặc Docker.
2. Cấu hình HTTPS.
3. Volume cho ảnh.
4. Backup DB.
5. Thử restore.</t>
        </is>
      </c>
      <c r="F27" s="14" t="inlineStr">
        <is>
          <t>Người 4</t>
        </is>
      </c>
      <c r="G27" s="22" t="inlineStr">
        <is>
          <t>Cao</t>
        </is>
      </c>
      <c r="H27" s="23" t="n">
        <v>2</v>
      </c>
      <c r="I27" s="14" t="inlineStr">
        <is>
          <t>—</t>
        </is>
      </c>
      <c r="J27" s="14" t="inlineStr">
        <is>
          <t>Mở tên miền dùng được; restart không mất ảnh; restore thử thành công.</t>
        </is>
      </c>
      <c r="K27" s="24" t="inlineStr">
        <is>
          <t>Chưa làm</t>
        </is>
      </c>
      <c r="L27" s="14" t="inlineStr">
        <is>
          <t>deploy/, docs</t>
        </is>
      </c>
    </row>
    <row r="28" ht="62" customHeight="1">
      <c r="A28" s="12" t="n">
        <v>24</v>
      </c>
      <c r="B28" s="11" t="inlineStr">
        <is>
          <t>4. Nền tảng &amp; QA</t>
        </is>
      </c>
      <c r="C28" s="10" t="inlineStr">
        <is>
          <t>Kiểm tra điện thoại và khả năng truy cập</t>
        </is>
      </c>
      <c r="D28" s="11" t="inlineStr">
        <is>
          <t>Trang không bị tràn trên điện thoại; modal bấm Tab không thoát ra ngoài; chữ/nút đủ rõ cho người dùng.</t>
        </is>
      </c>
      <c r="E28" s="11" t="inlineStr">
        <is>
          <t>1. Chạy 375px/768px.
2. Sửa layout.
3. Thêm giữ focus trong modal.
4. Kiểm tra contrast/label.</t>
        </is>
      </c>
      <c r="F28" s="11" t="inlineStr">
        <is>
          <t>Người 4</t>
        </is>
      </c>
      <c r="G28" s="26" t="inlineStr">
        <is>
          <t>Trung bình</t>
        </is>
      </c>
      <c r="H28" s="25" t="n">
        <v>1.5</v>
      </c>
      <c r="I28" s="11" t="inlineStr">
        <is>
          <t>—</t>
        </is>
      </c>
      <c r="J28" s="11" t="inlineStr">
        <is>
          <t>Không tràn ngang; dùng bàn phím được; Lighthouse accessibility ≥ 90.</t>
        </is>
      </c>
      <c r="K28" s="24" t="inlineStr">
        <is>
          <t>Chưa làm</t>
        </is>
      </c>
      <c r="L28" s="11" t="inlineStr">
        <is>
          <t>ui.jsx, CSS, pages</t>
        </is>
      </c>
    </row>
    <row r="29" ht="62" customHeight="1">
      <c r="A29" s="15" t="n">
        <v>25</v>
      </c>
      <c r="B29" s="14" t="inlineStr">
        <is>
          <t>4. Nền tảng &amp; QA</t>
        </is>
      </c>
      <c r="C29" s="13" t="inlineStr">
        <is>
          <t>Trang lỗi + giảm dung lượng tải</t>
        </is>
      </c>
      <c r="D29" s="14" t="inlineStr">
        <is>
          <t>Mở đường dẫn lạ không bị trắng trang. Tách phần Admin/Seller/biểu đồ để trang đầu nhẹ hơn.</t>
        </is>
      </c>
      <c r="E29" s="14" t="inlineStr">
        <is>
          <t>1. Thêm route dự phòng.
2. Tải chậm Admin/Seller/chart.
3. Đo dung lượng bundle.</t>
        </is>
      </c>
      <c r="F29" s="14" t="inlineStr">
        <is>
          <t>Người 4</t>
        </is>
      </c>
      <c r="G29" s="27" t="inlineStr">
        <is>
          <t>Thấp</t>
        </is>
      </c>
      <c r="H29" s="23" t="n">
        <v>1</v>
      </c>
      <c r="I29" s="14" t="inlineStr">
        <is>
          <t>—</t>
        </is>
      </c>
      <c r="J29" s="14" t="inlineStr">
        <is>
          <t>Route lạ về trang chủ; JS ban đầu dưới 400 KB.</t>
        </is>
      </c>
      <c r="K29" s="24" t="inlineStr">
        <is>
          <t>Chưa làm</t>
        </is>
      </c>
      <c r="L29" s="14" t="inlineStr">
        <is>
          <t>App.jsx, vite.config.js</t>
        </is>
      </c>
    </row>
    <row r="30" ht="62" customHeight="1">
      <c r="A30" s="12" t="n">
        <v>26</v>
      </c>
      <c r="B30" s="11" t="inlineStr">
        <is>
          <t>4. Nền tảng &amp; QA</t>
        </is>
      </c>
      <c r="C30" s="10" t="inlineStr">
        <is>
          <t>Chuẩn hoá đường dẫn ảnh khi đổi tên miền</t>
        </is>
      </c>
      <c r="D30" s="11" t="inlineStr">
        <is>
          <t>Ảnh mẫu đang ghi localhost:4000. Khi lên tên miền thật phải đổi để ảnh vẫn hiện.</t>
        </is>
      </c>
      <c r="E30" s="11" t="inlineStr">
        <is>
          <t>1. Viết script kiểm tra.
2. Đổi URL trong DB.
3. Kiểm tra ảnh trên trình duyệt.</t>
        </is>
      </c>
      <c r="F30" s="11" t="inlineStr">
        <is>
          <t>Người 4</t>
        </is>
      </c>
      <c r="G30" s="27" t="inlineStr">
        <is>
          <t>Thấp</t>
        </is>
      </c>
      <c r="H30" s="25" t="n">
        <v>0.5</v>
      </c>
      <c r="I30" s="11" t="inlineStr">
        <is>
          <t>—</t>
        </is>
      </c>
      <c r="J30" s="11" t="inlineStr">
        <is>
          <t>Không còn URL localhost trong dữ liệu production.</t>
        </is>
      </c>
      <c r="K30" s="24" t="inlineStr">
        <is>
          <t>Chưa làm</t>
        </is>
      </c>
      <c r="L30" s="11" t="inlineStr">
        <is>
          <t>scripts/, docs</t>
        </is>
      </c>
    </row>
  </sheetData>
  <autoFilter ref="A4:L30"/>
  <mergeCells count="2">
    <mergeCell ref="A2:L2"/>
    <mergeCell ref="A1:L1"/>
  </mergeCells>
  <conditionalFormatting sqref="K5:K30">
    <cfRule type="expression" priority="1" dxfId="0">
      <formula>$K5="Xong"</formula>
    </cfRule>
    <cfRule type="expression" priority="2" dxfId="1">
      <formula>$K5="Đang làm"</formula>
    </cfRule>
    <cfRule type="expression" priority="3" dxfId="2">
      <formula>$K5="Tạm dừng"</formula>
    </cfRule>
    <cfRule type="expression" priority="4" dxfId="3">
      <formula>$K5="Chưa làm"</formula>
    </cfRule>
  </conditionalFormatting>
  <dataValidations count="2">
    <dataValidation sqref="K5:K30" showDropDown="0" showInputMessage="0" showErrorMessage="0" allowBlank="0" type="list">
      <formula1>"Chưa làm,Đang làm,Xong,Tạm dừng"</formula1>
    </dataValidation>
    <dataValidation sqref="F5:F30" showDropDown="0" showInputMessage="0" showErrorMessage="0" allowBlank="0" type="list">
      <formula1>"Người 1,Người 2,Người 3,Người 4,Cả nhóm"</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16"/>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32" customWidth="1" min="3" max="3"/>
    <col width="32" customWidth="1" min="4" max="4"/>
    <col width="32" customWidth="1" min="5" max="5"/>
    <col width="32" customWidth="1" min="6" max="6"/>
  </cols>
  <sheetData>
    <row r="1" ht="34" customHeight="1">
      <c r="A1" s="20" t="inlineStr">
        <is>
          <t>LỊCH LÀM 2 TUẦN (GỢI Ý)</t>
        </is>
      </c>
    </row>
    <row r="2" ht="22" customHeight="1">
      <c r="A2" s="21" t="inlineStr">
        <is>
          <t>Mỗi ngày làm việc 8 tiếng. Ngày 11–12 dành cho tích hợp và phát hành.</t>
        </is>
      </c>
    </row>
    <row r="4" ht="34" customHeight="1">
      <c r="A4" s="9" t="inlineStr">
        <is>
          <t>Ngày</t>
        </is>
      </c>
      <c r="B4" s="9" t="inlineStr">
        <is>
          <t>Giai đoạn</t>
        </is>
      </c>
      <c r="C4" s="9" t="inlineStr">
        <is>
          <t>Người 1 — Thanh toán</t>
        </is>
      </c>
      <c r="D4" s="9" t="inlineStr">
        <is>
          <t>Người 2 — Trang chủ</t>
        </is>
      </c>
      <c r="E4" s="9" t="inlineStr">
        <is>
          <t>Người 3 — Tài khoản</t>
        </is>
      </c>
      <c r="F4" s="9" t="inlineStr">
        <is>
          <t>Người 4 — Nền tảng</t>
        </is>
      </c>
    </row>
    <row r="5" ht="38" customHeight="1">
      <c r="A5" s="28" t="inlineStr">
        <is>
          <t>Ngày 1</t>
        </is>
      </c>
      <c r="B5" s="15" t="inlineStr">
        <is>
          <t>Sprint 1</t>
        </is>
      </c>
      <c r="C5" s="14" t="inlineStr">
        <is>
          <t>T1.1 — Kết nối cổng thanh toán</t>
        </is>
      </c>
      <c r="D5" s="14" t="inlineStr">
        <is>
          <t>T2.1 — API 3 danh sách</t>
        </is>
      </c>
      <c r="E5" s="14" t="inlineStr">
        <is>
          <t>T3.1 — Bật Google login</t>
        </is>
      </c>
      <c r="F5" s="14" t="inlineStr">
        <is>
          <t>T4.1 — Email thật</t>
        </is>
      </c>
    </row>
    <row r="6" ht="38" customHeight="1">
      <c r="A6" s="29" t="inlineStr">
        <is>
          <t>Ngày 2</t>
        </is>
      </c>
      <c r="B6" s="12" t="inlineStr">
        <is>
          <t>Sprint 1</t>
        </is>
      </c>
      <c r="C6" s="11" t="inlineStr">
        <is>
          <t>T1.1 — Kết nối cổng thanh toán</t>
        </is>
      </c>
      <c r="D6" s="11" t="inlineStr">
        <is>
          <t>T2.1 — API 3 danh sách</t>
        </is>
      </c>
      <c r="E6" s="11" t="inlineStr">
        <is>
          <t>T3.2 — Sửa địa chỉ</t>
        </is>
      </c>
      <c r="F6" s="11" t="inlineStr">
        <is>
          <t>T4.3 — Khung Playwright</t>
        </is>
      </c>
    </row>
    <row r="7" ht="38" customHeight="1">
      <c r="A7" s="28" t="inlineStr">
        <is>
          <t>Ngày 3</t>
        </is>
      </c>
      <c r="B7" s="15" t="inlineStr">
        <is>
          <t>Sprint 1</t>
        </is>
      </c>
      <c r="C7" s="14" t="inlineStr">
        <is>
          <t>T1.2 — Bảng giao dịch</t>
        </is>
      </c>
      <c r="D7" s="14" t="inlineStr">
        <is>
          <t>T2.2 — Index DB</t>
        </is>
      </c>
      <c r="E7" s="14" t="inlineStr">
        <is>
          <t>T3.3 — Báo cáo shop/user</t>
        </is>
      </c>
      <c r="F7" s="14" t="inlineStr">
        <is>
          <t>T4.3 — Viết test chính</t>
        </is>
      </c>
    </row>
    <row r="8" ht="38" customHeight="1">
      <c r="A8" s="29" t="inlineStr">
        <is>
          <t>Ngày 4</t>
        </is>
      </c>
      <c r="B8" s="12" t="inlineStr">
        <is>
          <t>Sprint 1</t>
        </is>
      </c>
      <c r="C8" s="11" t="inlineStr">
        <is>
          <t>T1.3 — Webhook</t>
        </is>
      </c>
      <c r="D8" s="11" t="inlineStr">
        <is>
          <t>T2.3 — 3 khu vực trang chủ</t>
        </is>
      </c>
      <c r="E8" s="11" t="inlineStr">
        <is>
          <t>T3.3 — Báo cáo shop/user</t>
        </is>
      </c>
      <c r="F8" s="11" t="inlineStr">
        <is>
          <t>T4.4 — CI</t>
        </is>
      </c>
    </row>
    <row r="9" ht="38" customHeight="1">
      <c r="A9" s="28" t="inlineStr">
        <is>
          <t>Ngày 5</t>
        </is>
      </c>
      <c r="B9" s="15" t="inlineStr">
        <is>
          <t>Sprint 1</t>
        </is>
      </c>
      <c r="C9" s="14" t="inlineStr">
        <is>
          <t>T1.3 — Webhook + review</t>
        </is>
      </c>
      <c r="D9" s="14" t="inlineStr">
        <is>
          <t>T2.3 — 3 khu vực trang chủ</t>
        </is>
      </c>
      <c r="E9" s="14" t="inlineStr">
        <is>
          <t>T3.4 — Nút báo cáo + admin</t>
        </is>
      </c>
      <c r="F9" s="14" t="inlineStr">
        <is>
          <t>T4.4 — CI + review</t>
        </is>
      </c>
    </row>
    <row r="10" ht="38" customHeight="1">
      <c r="A10" s="29" t="inlineStr">
        <is>
          <t>Ngày 6</t>
        </is>
      </c>
      <c r="B10" s="12" t="inlineStr">
        <is>
          <t>Sprint 2</t>
        </is>
      </c>
      <c r="C10" s="11" t="inlineStr">
        <is>
          <t>T1.4 — Cọc bằng cổng ngoài</t>
        </is>
      </c>
      <c r="D10" s="11" t="inlineStr">
        <is>
          <t>T2.4 — Sắp xếp mới</t>
        </is>
      </c>
      <c r="E10" s="11" t="inlineStr">
        <is>
          <t>T3.4 — Nút báo cáo + admin</t>
        </is>
      </c>
      <c r="F10" s="11" t="inlineStr">
        <is>
          <t>T4.2 — Bật AI thật</t>
        </is>
      </c>
    </row>
    <row r="11" ht="38" customHeight="1">
      <c r="A11" s="28" t="inlineStr">
        <is>
          <t>Ngày 7</t>
        </is>
      </c>
      <c r="B11" s="15" t="inlineStr">
        <is>
          <t>Sprint 2</t>
        </is>
      </c>
      <c r="C11" s="14" t="inlineStr">
        <is>
          <t>T1.5 — Giao diện thanh toán</t>
        </is>
      </c>
      <c r="D11" s="14" t="inlineStr">
        <is>
          <t>T2.4 — Sắp xếp mới</t>
        </is>
      </c>
      <c r="E11" s="14" t="inlineStr">
        <is>
          <t>T3.5 — Cảm xúc trên sản phẩm</t>
        </is>
      </c>
      <c r="F11" s="14" t="inlineStr">
        <is>
          <t>T4.5 — Deploy</t>
        </is>
      </c>
    </row>
    <row r="12" ht="38" customHeight="1">
      <c r="A12" s="29" t="inlineStr">
        <is>
          <t>Ngày 8</t>
        </is>
      </c>
      <c r="B12" s="12" t="inlineStr">
        <is>
          <t>Sprint 2</t>
        </is>
      </c>
      <c r="C12" s="11" t="inlineStr">
        <is>
          <t>T1.5 — Giao diện thanh toán</t>
        </is>
      </c>
      <c r="D12" s="11" t="inlineStr">
        <is>
          <t>T2.5 — Test + mobile</t>
        </is>
      </c>
      <c r="E12" s="11" t="inlineStr">
        <is>
          <t>T3.5 — Cảm xúc trên sản phẩm</t>
        </is>
      </c>
      <c r="F12" s="11" t="inlineStr">
        <is>
          <t>T4.5 — Deploy</t>
        </is>
      </c>
    </row>
    <row r="13" ht="38" customHeight="1">
      <c r="A13" s="28" t="inlineStr">
        <is>
          <t>Ngày 9</t>
        </is>
      </c>
      <c r="B13" s="15" t="inlineStr">
        <is>
          <t>Sprint 2</t>
        </is>
      </c>
      <c r="C13" s="14" t="inlineStr">
        <is>
          <t>T1.6 — Test thanh toán</t>
        </is>
      </c>
      <c r="D13" s="14" t="inlineStr">
        <is>
          <t>T2.5 — Test + mobile</t>
        </is>
      </c>
      <c r="E13" s="14" t="inlineStr">
        <is>
          <t>T3.6 — Test tài khoản/báo cáo</t>
        </is>
      </c>
      <c r="F13" s="14" t="inlineStr">
        <is>
          <t>T4.6 — Mobile + a11y</t>
        </is>
      </c>
    </row>
    <row r="14" ht="38" customHeight="1">
      <c r="A14" s="29" t="inlineStr">
        <is>
          <t>Ngày 10</t>
        </is>
      </c>
      <c r="B14" s="12" t="inlineStr">
        <is>
          <t>Sprint 2</t>
        </is>
      </c>
      <c r="C14" s="11" t="inlineStr">
        <is>
          <t>T1.6 — Test + đối soát</t>
        </is>
      </c>
      <c r="D14" s="11" t="inlineStr">
        <is>
          <t>Dự phòng / hỗ trợ</t>
        </is>
      </c>
      <c r="E14" s="11" t="inlineStr">
        <is>
          <t>T3.7 — Admin danh mục</t>
        </is>
      </c>
      <c r="F14" s="11" t="inlineStr">
        <is>
          <t>T4.7 + T4.8</t>
        </is>
      </c>
    </row>
    <row r="15" ht="38" customHeight="1">
      <c r="A15" s="30" t="inlineStr">
        <is>
          <t>Ngày 11</t>
        </is>
      </c>
      <c r="B15" s="27" t="inlineStr">
        <is>
          <t>Tích hợp</t>
        </is>
      </c>
      <c r="C15" s="31" t="inlineStr">
        <is>
          <t>Cả nhóm: chạy E2E toàn bộ</t>
        </is>
      </c>
      <c r="D15" s="31" t="inlineStr">
        <is>
          <t>Cả nhóm: sửa lỗi tích hợp</t>
        </is>
      </c>
      <c r="E15" s="31" t="inlineStr">
        <is>
          <t>Cả nhóm: kiểm tra 4 role</t>
        </is>
      </c>
      <c r="F15" s="31" t="inlineStr">
        <is>
          <t>Cả nhóm: kiểm tra deploy</t>
        </is>
      </c>
    </row>
    <row r="16" ht="38" customHeight="1">
      <c r="A16" s="30" t="inlineStr">
        <is>
          <t>Ngày 12</t>
        </is>
      </c>
      <c r="B16" s="27" t="inlineStr">
        <is>
          <t>Phát hành</t>
        </is>
      </c>
      <c r="C16" s="31" t="inlineStr">
        <is>
          <t>Cả nhóm: cập nhật docs</t>
        </is>
      </c>
      <c r="D16" s="31" t="inlineStr">
        <is>
          <t>Cả nhóm: chạy test cuối</t>
        </is>
      </c>
      <c r="E16" s="31" t="inlineStr">
        <is>
          <t>Cả nhóm: nghiệm thu</t>
        </is>
      </c>
      <c r="F16" s="31" t="inlineStr">
        <is>
          <t>Cả nhóm: tag + release</t>
        </is>
      </c>
    </row>
  </sheetData>
  <mergeCells count="2">
    <mergeCell ref="A2:F2"/>
    <mergeCell ref="A1:F1"/>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E34"/>
  <sheetViews>
    <sheetView showGridLines="0" workbookViewId="0">
      <pane ySplit="4" topLeftCell="A5" activePane="bottomLeft" state="frozen"/>
      <selection pane="bottomLeft" activeCell="A1" sqref="A1"/>
    </sheetView>
  </sheetViews>
  <sheetFormatPr baseColWidth="8" defaultRowHeight="15"/>
  <cols>
    <col width="6" customWidth="1" min="1" max="1"/>
    <col width="38" customWidth="1" min="2" max="2"/>
    <col width="14" customWidth="1" min="3" max="3"/>
    <col width="55" customWidth="1" min="4" max="4"/>
    <col width="18" customWidth="1" min="5" max="5"/>
  </cols>
  <sheetData>
    <row r="1" ht="34" customHeight="1">
      <c r="A1" s="20" t="inlineStr">
        <is>
          <t>30 CHỨC NĂNG — HIỆN TRẠNG</t>
        </is>
      </c>
    </row>
    <row r="2" ht="22" customHeight="1">
      <c r="A2" s="21" t="inlineStr">
        <is>
          <t>18 đủ, 8 một phần, 4 chưa có. Cột 'Task liên quan' trỏ sang sheet Danh sách task.</t>
        </is>
      </c>
    </row>
    <row r="4" ht="32" customHeight="1">
      <c r="A4" s="9" t="inlineStr">
        <is>
          <t>STT</t>
        </is>
      </c>
      <c r="B4" s="9" t="inlineStr">
        <is>
          <t>Chức năng</t>
        </is>
      </c>
      <c r="C4" s="9" t="inlineStr">
        <is>
          <t>Trạng thái</t>
        </is>
      </c>
      <c r="D4" s="9" t="inlineStr">
        <is>
          <t>Ghi chú dễ hiểu</t>
        </is>
      </c>
      <c r="E4" s="9" t="inlineStr">
        <is>
          <t>Task liên quan</t>
        </is>
      </c>
    </row>
    <row r="5" ht="34" customHeight="1">
      <c r="A5" s="15" t="n">
        <v>1</v>
      </c>
      <c r="B5" s="14" t="inlineStr">
        <is>
          <t>Đăng ký + gửi email xác nhận</t>
        </is>
      </c>
      <c r="C5" s="26" t="inlineStr">
        <is>
          <t>⚠️ Một phần</t>
        </is>
      </c>
      <c r="D5" s="14" t="inlineStr">
        <is>
          <t>Có OTP/link; dev ghi thư ra file, chưa gửi thật.</t>
        </is>
      </c>
      <c r="E5" s="15" t="inlineStr">
        <is>
          <t>T4.1</t>
        </is>
      </c>
    </row>
    <row r="6" ht="34" customHeight="1">
      <c r="A6" s="12" t="n">
        <v>2</v>
      </c>
      <c r="B6" s="11" t="inlineStr">
        <is>
          <t>Đăng nhập</t>
        </is>
      </c>
      <c r="C6" s="32" t="inlineStr">
        <is>
          <t>✅ Đủ</t>
        </is>
      </c>
      <c r="D6" s="11" t="inlineStr">
        <is>
          <t>Email + mật khẩu, JWT 7 ngày.</t>
        </is>
      </c>
      <c r="E6" s="12" t="inlineStr">
        <is>
          <t>—</t>
        </is>
      </c>
    </row>
    <row r="7" ht="34" customHeight="1">
      <c r="A7" s="15" t="n">
        <v>3</v>
      </c>
      <c r="B7" s="14" t="inlineStr">
        <is>
          <t>Đăng xuất</t>
        </is>
      </c>
      <c r="C7" s="32" t="inlineStr">
        <is>
          <t>✅ Đủ</t>
        </is>
      </c>
      <c r="D7" s="14" t="inlineStr">
        <is>
          <t>Thu hồi phiên hiện tại; có đăng xuất mọi thiết bị.</t>
        </is>
      </c>
      <c r="E7" s="15" t="inlineStr">
        <is>
          <t>—</t>
        </is>
      </c>
    </row>
    <row r="8" ht="34" customHeight="1">
      <c r="A8" s="12" t="n">
        <v>4</v>
      </c>
      <c r="B8" s="11" t="inlineStr">
        <is>
          <t>Lấy lại mật khẩu</t>
        </is>
      </c>
      <c r="C8" s="32" t="inlineStr">
        <is>
          <t>✅ Đủ</t>
        </is>
      </c>
      <c r="D8" s="11" t="inlineStr">
        <is>
          <t>OTP qua email và link đặt lại.</t>
        </is>
      </c>
      <c r="E8" s="12" t="inlineStr">
        <is>
          <t>—</t>
        </is>
      </c>
    </row>
    <row r="9" ht="34" customHeight="1">
      <c r="A9" s="15" t="n">
        <v>5</v>
      </c>
      <c r="B9" s="14" t="inlineStr">
        <is>
          <t>Xem chi tiết sản phẩm</t>
        </is>
      </c>
      <c r="C9" s="32" t="inlineStr">
        <is>
          <t>✅ Đủ</t>
        </is>
      </c>
      <c r="D9" s="14" t="inlineStr">
        <is>
          <t>Ảnh, mô tả, thông số, người bán, tin liên quan.</t>
        </is>
      </c>
      <c r="E9" s="15" t="inlineStr">
        <is>
          <t>—</t>
        </is>
      </c>
    </row>
    <row r="10" ht="34" customHeight="1">
      <c r="A10" s="12" t="n">
        <v>6</v>
      </c>
      <c r="B10" s="11" t="inlineStr">
        <is>
          <t>Quản lý giỏ hàng</t>
        </is>
      </c>
      <c r="C10" s="26" t="inlineStr">
        <is>
          <t>⚠️ Một phần</t>
        </is>
      </c>
      <c r="D10" s="11" t="inlineStr">
        <is>
          <t>Thêm/xoá được; mỗi tin là 1 món, không có số lượng.</t>
        </is>
      </c>
      <c r="E10" s="12" t="inlineStr">
        <is>
          <t>—</t>
        </is>
      </c>
    </row>
    <row r="11" ht="34" customHeight="1">
      <c r="A11" s="15" t="n">
        <v>7</v>
      </c>
      <c r="B11" s="14" t="inlineStr">
        <is>
          <t>Đặt hàng</t>
        </is>
      </c>
      <c r="C11" s="32" t="inlineStr">
        <is>
          <t>✅ Đủ</t>
        </is>
      </c>
      <c r="D11" s="14" t="inlineStr">
        <is>
          <t>Địa chỉ, COD/ví, cọc SafePay.</t>
        </is>
      </c>
      <c r="E11" s="15" t="inlineStr">
        <is>
          <t>—</t>
        </is>
      </c>
    </row>
    <row r="12" ht="34" customHeight="1">
      <c r="A12" s="12" t="n">
        <v>8</v>
      </c>
      <c r="B12" s="11" t="inlineStr">
        <is>
          <t>Thanh toán trực tuyến</t>
        </is>
      </c>
      <c r="C12" s="26" t="inlineStr">
        <is>
          <t>⚠️ Một phần</t>
        </is>
      </c>
      <c r="D12" s="11" t="inlineStr">
        <is>
          <t>Mới có ví + nạp demo; chưa có cổng thật.</t>
        </is>
      </c>
      <c r="E12" s="12" t="inlineStr">
        <is>
          <t>T1.1–T1.6</t>
        </is>
      </c>
    </row>
    <row r="13" ht="34" customHeight="1">
      <c r="A13" s="15" t="n">
        <v>9</v>
      </c>
      <c r="B13" s="14" t="inlineStr">
        <is>
          <t>Xem lịch sử mua hàng</t>
        </is>
      </c>
      <c r="C13" s="32" t="inlineStr">
        <is>
          <t>✅ Đủ</t>
        </is>
      </c>
      <c r="D13" s="14" t="inlineStr">
        <is>
          <t>Đơn mua/bán, chi tiết, timeline.</t>
        </is>
      </c>
      <c r="E13" s="15" t="inlineStr">
        <is>
          <t>—</t>
        </is>
      </c>
    </row>
    <row r="14" ht="34" customHeight="1">
      <c r="A14" s="12" t="n">
        <v>10</v>
      </c>
      <c r="B14" s="11" t="inlineStr">
        <is>
          <t>Biểu đồ cột theo khoảng thời gian</t>
        </is>
      </c>
      <c r="C14" s="32" t="inlineStr">
        <is>
          <t>✅ Đủ</t>
        </is>
      </c>
      <c r="D14" s="11" t="inlineStr">
        <is>
          <t>Admin tài chính và seller chọn from/to.</t>
        </is>
      </c>
      <c r="E14" s="12" t="inlineStr">
        <is>
          <t>—</t>
        </is>
      </c>
    </row>
    <row r="15" ht="34" customHeight="1">
      <c r="A15" s="15" t="n">
        <v>11</v>
      </c>
      <c r="B15" s="14" t="inlineStr">
        <is>
          <t>Biểu đồ tròn</t>
        </is>
      </c>
      <c r="C15" s="32" t="inlineStr">
        <is>
          <t>✅ Đủ</t>
        </is>
      </c>
      <c r="D15" s="14" t="inlineStr">
        <is>
          <t>Admin: trạng thái đơn.</t>
        </is>
      </c>
      <c r="E15" s="15" t="inlineStr">
        <is>
          <t>—</t>
        </is>
      </c>
    </row>
    <row r="16" ht="34" customHeight="1">
      <c r="A16" s="12" t="n">
        <v>12</v>
      </c>
      <c r="B16" s="11" t="inlineStr">
        <is>
          <t>Admin quản lý người dùng/sản phẩm/đơn</t>
        </is>
      </c>
      <c r="C16" s="32" t="inlineStr">
        <is>
          <t>✅ Đủ</t>
        </is>
      </c>
      <c r="D16" s="11" t="inlineStr">
        <is>
          <t>Khoá/mở, xác minh, role, duyệt tin, xem đơn.</t>
        </is>
      </c>
      <c r="E16" s="12" t="inlineStr">
        <is>
          <t>—</t>
        </is>
      </c>
    </row>
    <row r="17" ht="34" customHeight="1">
      <c r="A17" s="15" t="n">
        <v>13</v>
      </c>
      <c r="B17" s="14" t="inlineStr">
        <is>
          <t>Seller quản lý sản phẩm/doanh thu/đơn</t>
        </is>
      </c>
      <c r="C17" s="32" t="inlineStr">
        <is>
          <t>✅ Đủ</t>
        </is>
      </c>
      <c r="D17" s="14" t="inlineStr">
        <is>
          <t>Dashboard, tin đăng, đơn bán, biểu đồ.</t>
        </is>
      </c>
      <c r="E17" s="15" t="inlineStr">
        <is>
          <t>—</t>
        </is>
      </c>
    </row>
    <row r="18" ht="34" customHeight="1">
      <c r="A18" s="12" t="n">
        <v>14</v>
      </c>
      <c r="B18" s="11" t="inlineStr">
        <is>
          <t>Đăng nhập bằng Google</t>
        </is>
      </c>
      <c r="C18" s="26" t="inlineStr">
        <is>
          <t>⚠️ Một phần</t>
        </is>
      </c>
      <c r="D18" s="11" t="inlineStr">
        <is>
          <t>Code có sẵn; chưa bật vì thiếu Client ID.</t>
        </is>
      </c>
      <c r="E18" s="12" t="inlineStr">
        <is>
          <t>T3.1</t>
        </is>
      </c>
    </row>
    <row r="19" ht="34" customHeight="1">
      <c r="A19" s="15" t="n">
        <v>15</v>
      </c>
      <c r="B19" s="14" t="inlineStr">
        <is>
          <t>Cập nhật thông tin cá nhân</t>
        </is>
      </c>
      <c r="C19" s="26" t="inlineStr">
        <is>
          <t>⚠️ Một phần</t>
        </is>
      </c>
      <c r="D19" s="14" t="inlineStr">
        <is>
          <t>Sửa tên/điện thoại/bio; địa chỉ chỉ thêm/xoá.</t>
        </is>
      </c>
      <c r="E19" s="15" t="inlineStr">
        <is>
          <t>T3.2</t>
        </is>
      </c>
    </row>
    <row r="20" ht="34" customHeight="1">
      <c r="A20" s="12" t="n">
        <v>16</v>
      </c>
      <c r="B20" s="11" t="inlineStr">
        <is>
          <t>Cập nhật trạng thái đơn hàng</t>
        </is>
      </c>
      <c r="C20" s="32" t="inlineStr">
        <is>
          <t>✅ Đủ</t>
        </is>
      </c>
      <c r="D20" s="11" t="inlineStr">
        <is>
          <t>Seller/buyer/admin theo luồng.</t>
        </is>
      </c>
      <c r="E20" s="12" t="inlineStr">
        <is>
          <t>—</t>
        </is>
      </c>
    </row>
    <row r="21" ht="34" customHeight="1">
      <c r="A21" s="15" t="n">
        <v>17</v>
      </c>
      <c r="B21" s="14" t="inlineStr">
        <is>
          <t>Huỷ đơn + hoàn tiền</t>
        </is>
      </c>
      <c r="C21" s="32" t="inlineStr">
        <is>
          <t>✅ Đủ</t>
        </is>
      </c>
      <c r="D21" s="14" t="inlineStr">
        <is>
          <t>Huỷ trước khi giao, escrow hoàn về ví.</t>
        </is>
      </c>
      <c r="E21" s="15" t="inlineStr">
        <is>
          <t>—</t>
        </is>
      </c>
    </row>
    <row r="22" ht="34" customHeight="1">
      <c r="A22" s="12" t="n">
        <v>18</v>
      </c>
      <c r="B22" s="11" t="inlineStr">
        <is>
          <t>Đánh giá sản phẩm đã mua</t>
        </is>
      </c>
      <c r="C22" s="32" t="inlineStr">
        <is>
          <t>✅ Đủ</t>
        </is>
      </c>
      <c r="D22" s="11" t="inlineStr">
        <is>
          <t>Sau đơn hoàn tất, seller trả lời.</t>
        </is>
      </c>
      <c r="E22" s="12" t="inlineStr">
        <is>
          <t>—</t>
        </is>
      </c>
    </row>
    <row r="23" ht="34" customHeight="1">
      <c r="A23" s="15" t="n">
        <v>19</v>
      </c>
      <c r="B23" s="14" t="inlineStr">
        <is>
          <t>Báo cáo gian hàng/khách hàng</t>
        </is>
      </c>
      <c r="C23" s="22" t="inlineStr">
        <is>
          <t>❌ Chưa có</t>
        </is>
      </c>
      <c r="D23" s="14" t="inlineStr">
        <is>
          <t>Chỉ báo tin, bình luận, tin nhắn, avatar.</t>
        </is>
      </c>
      <c r="E23" s="15" t="inlineStr">
        <is>
          <t>T3.3–T3.4</t>
        </is>
      </c>
    </row>
    <row r="24" ht="34" customHeight="1">
      <c r="A24" s="12" t="n">
        <v>20</v>
      </c>
      <c r="B24" s="11" t="inlineStr">
        <is>
          <t>Lọc sản phẩm nhiều tiêu chí</t>
        </is>
      </c>
      <c r="C24" s="32" t="inlineStr">
        <is>
          <t>✅ Đủ</t>
        </is>
      </c>
      <c r="D24" s="11" t="inlineStr">
        <is>
          <t>Từ khoá, danh mục, giá, tình trạng, thành phố...</t>
        </is>
      </c>
      <c r="E24" s="12" t="inlineStr">
        <is>
          <t>—</t>
        </is>
      </c>
    </row>
    <row r="25" ht="34" customHeight="1">
      <c r="A25" s="15" t="n">
        <v>21</v>
      </c>
      <c r="B25" s="14" t="inlineStr">
        <is>
          <t>Sắp xếp sản phẩm</t>
        </is>
      </c>
      <c r="C25" s="26" t="inlineStr">
        <is>
          <t>⚠️ Một phần</t>
        </is>
      </c>
      <c r="D25" s="14" t="inlineStr">
        <is>
          <t>Giá tăng/giảm, mới nhất; chưa bán chạy/xem nhiều.</t>
        </is>
      </c>
      <c r="E25" s="15" t="inlineStr">
        <is>
          <t>T2.4</t>
        </is>
      </c>
    </row>
    <row r="26" ht="34" customHeight="1">
      <c r="A26" s="12" t="n">
        <v>22</v>
      </c>
      <c r="B26" s="11" t="inlineStr">
        <is>
          <t>Tìm kiếm gian hàng</t>
        </is>
      </c>
      <c r="C26" s="32" t="inlineStr">
        <is>
          <t>✅ Đủ</t>
        </is>
      </c>
      <c r="D26" s="11" t="inlineStr">
        <is>
          <t>Tìm + phân trang.</t>
        </is>
      </c>
      <c r="E26" s="12" t="inlineStr">
        <is>
          <t>—</t>
        </is>
      </c>
    </row>
    <row r="27" ht="34" customHeight="1">
      <c r="A27" s="15" t="n">
        <v>23</v>
      </c>
      <c r="B27" s="14" t="inlineStr">
        <is>
          <t>Sản phẩm gợi ý</t>
        </is>
      </c>
      <c r="C27" s="32" t="inlineStr">
        <is>
          <t>✅ Đủ</t>
        </is>
      </c>
      <c r="D27" s="14" t="inlineStr">
        <is>
          <t>Theo danh mục đã lưu, fallback phổ biến.</t>
        </is>
      </c>
      <c r="E27" s="15" t="inlineStr">
        <is>
          <t>—</t>
        </is>
      </c>
    </row>
    <row r="28" ht="34" customHeight="1">
      <c r="A28" s="12" t="n">
        <v>24</v>
      </c>
      <c r="B28" s="11" t="inlineStr">
        <is>
          <t>Chatbot AI tư vấn/tìm sản phẩm</t>
        </is>
      </c>
      <c r="C28" s="26" t="inlineStr">
        <is>
          <t>⚠️ Một phần</t>
        </is>
      </c>
      <c r="D28" s="11" t="inlineStr">
        <is>
          <t>Có AI khi cấu hình key; thiếu thì tìm từ khoá.</t>
        </is>
      </c>
      <c r="E28" s="12" t="inlineStr">
        <is>
          <t>T4.2</t>
        </is>
      </c>
    </row>
    <row r="29" ht="34" customHeight="1">
      <c r="A29" s="15" t="n">
        <v>25</v>
      </c>
      <c r="B29" s="14" t="inlineStr">
        <is>
          <t>Lịch sử giá sản phẩm</t>
        </is>
      </c>
      <c r="C29" s="32" t="inlineStr">
        <is>
          <t>✅ Đủ</t>
        </is>
      </c>
      <c r="D29" s="14" t="inlineStr">
        <is>
          <t>Có API và hiển thị trong trang tin.</t>
        </is>
      </c>
      <c r="E29" s="15" t="inlineStr">
        <is>
          <t>—</t>
        </is>
      </c>
    </row>
    <row r="30" ht="34" customHeight="1">
      <c r="A30" s="12" t="n">
        <v>26</v>
      </c>
      <c r="B30" s="11" t="inlineStr">
        <is>
          <t>Phân tích cảm xúc bình luận</t>
        </is>
      </c>
      <c r="C30" s="26" t="inlineStr">
        <is>
          <t>⚠️ Một phần</t>
        </is>
      </c>
      <c r="D30" s="11" t="inlineStr">
        <is>
          <t>Có ở seller/admin; chưa trên trang sản phẩm.</t>
        </is>
      </c>
      <c r="E30" s="12" t="inlineStr">
        <is>
          <t>T3.5</t>
        </is>
      </c>
    </row>
    <row r="31" ht="34" customHeight="1">
      <c r="A31" s="15" t="n">
        <v>27</v>
      </c>
      <c r="B31" s="14" t="inlineStr">
        <is>
          <t>Trang chủ: sản phẩm bán chạy</t>
        </is>
      </c>
      <c r="C31" s="22" t="inlineStr">
        <is>
          <t>❌ Chưa có</t>
        </is>
      </c>
      <c r="D31" s="14" t="inlineStr">
        <is>
          <t>Chưa có section và truy vấn theo đơn hoàn tất.</t>
        </is>
      </c>
      <c r="E31" s="15" t="inlineStr">
        <is>
          <t>T2.1, T2.3</t>
        </is>
      </c>
    </row>
    <row r="32" ht="34" customHeight="1">
      <c r="A32" s="12" t="n">
        <v>28</v>
      </c>
      <c r="B32" s="11" t="inlineStr">
        <is>
          <t>Trang chủ: sản phẩm mới nhất</t>
        </is>
      </c>
      <c r="C32" s="22" t="inlineStr">
        <is>
          <t>❌ Chưa có</t>
        </is>
      </c>
      <c r="D32" s="11" t="inlineStr">
        <is>
          <t>Có sort trong catalog, chưa có section riêng.</t>
        </is>
      </c>
      <c r="E32" s="12" t="inlineStr">
        <is>
          <t>T2.3</t>
        </is>
      </c>
    </row>
    <row r="33" ht="34" customHeight="1">
      <c r="A33" s="15" t="n">
        <v>29</v>
      </c>
      <c r="B33" s="14" t="inlineStr">
        <is>
          <t>Trang chủ: sản phẩm xem nhiều</t>
        </is>
      </c>
      <c r="C33" s="22" t="inlineStr">
        <is>
          <t>❌ Chưa có</t>
        </is>
      </c>
      <c r="D33" s="14" t="inlineStr">
        <is>
          <t>Chưa có section 'Xem nhiều'.</t>
        </is>
      </c>
      <c r="E33" s="15" t="inlineStr">
        <is>
          <t>T2.1, T2.3</t>
        </is>
      </c>
    </row>
    <row r="34" ht="34" customHeight="1">
      <c r="A34" s="12" t="n">
        <v>30</v>
      </c>
      <c r="B34" s="11" t="inlineStr">
        <is>
          <t>Danh sách sản phẩm gợi ý</t>
        </is>
      </c>
      <c r="C34" s="32" t="inlineStr">
        <is>
          <t>✅ Đủ</t>
        </is>
      </c>
      <c r="D34" s="11" t="inlineStr">
        <is>
          <t>Section 'Gợi ý cho bạn'.</t>
        </is>
      </c>
      <c r="E34" s="12" t="inlineStr">
        <is>
          <t>—</t>
        </is>
      </c>
    </row>
  </sheetData>
  <autoFilter ref="A4:E34"/>
  <mergeCells count="2">
    <mergeCell ref="A2:E2"/>
    <mergeCell ref="A1:E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Nola2Hand</dc:creator>
  <dc:title>Nola2Hand — Kế hoạch 4 người</dc:title>
  <dc:description>Kế hoạch hoàn thiện các chức năng còn thiếu</dc:description>
  <dcterms:created xsi:type="dcterms:W3CDTF">2026-10-20T10:03:54Z</dcterms:created>
  <dcterms:modified xsi:type="dcterms:W3CDTF">2026-10-20T10:03:54Z</dcterms:modified>
</cp:coreProperties>
</file>